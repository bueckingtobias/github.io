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5"/>
  <workbookPr/>
  <xr:revisionPtr revIDLastSave="0" documentId="8_{8C316208-A9FA-2743-83E7-F4E4D3674894}" xr6:coauthVersionLast="47" xr6:coauthVersionMax="47" xr10:uidLastSave="{00000000-0000-0000-0000-000000000000}"/>
  <bookViews>
    <workbookView xWindow="0" yWindow="0" windowWidth="0" windowHeight="0" activeTab="4" xr2:uid="{00000000-000D-0000-FFFF-FFFF00000000}"/>
  </bookViews>
  <sheets>
    <sheet name="README" sheetId="1" r:id="rId1"/>
    <sheet name="INPUT_ZENTRAL" sheetId="2" r:id="rId2"/>
    <sheet name="HOME_KPI" sheetId="3" r:id="rId3"/>
    <sheet name="PROJEKTE_GESAMT" sheetId="4" r:id="rId4"/>
    <sheet name="PROJEKTE_GEWERKE" sheetId="5" r:id="rId5"/>
    <sheet name="FINANCE_CASHFLOW" sheetId="6" r:id="rId6"/>
    <sheet name="FINANCE_MIETEN" sheetId="7" r:id="rId7"/>
    <sheet name="FINANCE_OP" sheetId="8" r:id="rId8"/>
    <sheet name="FINANCE_RESERVEN" sheetId="9" r:id="rId9"/>
    <sheet name="FINANCE_BUDGET" sheetId="10" r:id="rId10"/>
    <sheet name="VIEW_HOME" sheetId="11" r:id="rId11"/>
    <sheet name="VIEW_PROJEKTE" sheetId="12" r:id="rId12"/>
    <sheet name="VIEW_FINANCE" sheetId="13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8" i="13"/>
  <c r="B7" i="13"/>
  <c r="B6" i="13"/>
  <c r="B5" i="13"/>
  <c r="D4" i="6"/>
  <c r="D5" i="6"/>
  <c r="D6" i="6"/>
  <c r="D7" i="6"/>
  <c r="D8" i="6"/>
  <c r="D9" i="6"/>
  <c r="D10" i="6"/>
  <c r="B4" i="13"/>
  <c r="B4" i="4"/>
  <c r="B4" i="12"/>
  <c r="C4" i="4"/>
  <c r="C4" i="12"/>
  <c r="D4" i="12"/>
  <c r="D4" i="4"/>
  <c r="E4" i="12"/>
  <c r="G4" i="12"/>
  <c r="F4" i="12"/>
  <c r="F13" i="11"/>
  <c r="G13" i="11"/>
  <c r="E13" i="11"/>
  <c r="D13" i="11"/>
  <c r="C13" i="11"/>
  <c r="B13" i="11"/>
  <c r="F12" i="11"/>
  <c r="G12" i="11"/>
  <c r="E12" i="11"/>
  <c r="D12" i="11"/>
  <c r="C12" i="11"/>
  <c r="B12" i="11"/>
  <c r="F11" i="11"/>
  <c r="G11" i="11"/>
  <c r="E11" i="11"/>
  <c r="D11" i="11"/>
  <c r="C11" i="11"/>
  <c r="B11" i="11"/>
  <c r="F10" i="11"/>
  <c r="G10" i="11"/>
  <c r="E10" i="11"/>
  <c r="D10" i="11"/>
  <c r="C10" i="11"/>
  <c r="B10" i="11"/>
  <c r="F9" i="11"/>
  <c r="G9" i="11"/>
  <c r="E9" i="11"/>
  <c r="D9" i="11"/>
  <c r="C9" i="11"/>
  <c r="B9" i="11"/>
  <c r="F8" i="11"/>
  <c r="G8" i="11"/>
  <c r="E8" i="11"/>
  <c r="D8" i="11"/>
  <c r="C8" i="11"/>
  <c r="B8" i="11"/>
  <c r="F7" i="11"/>
  <c r="G7" i="11"/>
  <c r="E7" i="11"/>
  <c r="D7" i="11"/>
  <c r="C7" i="11"/>
  <c r="B7" i="11"/>
  <c r="F6" i="11"/>
  <c r="G6" i="11"/>
  <c r="E6" i="11"/>
  <c r="D6" i="11"/>
  <c r="C6" i="11"/>
  <c r="B6" i="11"/>
  <c r="F5" i="11"/>
  <c r="G5" i="11"/>
  <c r="E5" i="11"/>
  <c r="D5" i="11"/>
  <c r="C5" i="11"/>
  <c r="B5" i="11"/>
  <c r="F4" i="11"/>
  <c r="G4" i="11"/>
  <c r="E4" i="11"/>
  <c r="D4" i="11"/>
  <c r="C4" i="11"/>
  <c r="B4" i="11"/>
  <c r="B13" i="7"/>
  <c r="C13" i="7"/>
  <c r="B12" i="7"/>
  <c r="C12" i="7"/>
  <c r="B11" i="7"/>
  <c r="C11" i="7"/>
  <c r="B10" i="7"/>
  <c r="C10" i="7"/>
  <c r="B9" i="7"/>
  <c r="C9" i="7"/>
  <c r="B8" i="7"/>
  <c r="C8" i="7"/>
  <c r="B7" i="7"/>
  <c r="C7" i="7"/>
  <c r="B6" i="7"/>
  <c r="C6" i="7"/>
  <c r="B5" i="7"/>
  <c r="C5" i="7"/>
  <c r="B4" i="7"/>
  <c r="C4" i="7"/>
  <c r="D13" i="6"/>
  <c r="D12" i="6"/>
  <c r="D11" i="6"/>
</calcChain>
</file>

<file path=xl/sharedStrings.xml><?xml version="1.0" encoding="utf-8"?>
<sst xmlns="http://schemas.openxmlformats.org/spreadsheetml/2006/main" count="255" uniqueCount="166">
  <si>
    <t>Dashboard.xlsx – Eingabe &amp; Module (Übersicht)</t>
  </si>
  <si>
    <t>So nutzt du diese Datei:</t>
  </si>
  <si>
    <t>1) Trage Werte ausschließlich in hellgrünen Zellen ein.</t>
  </si>
  <si>
    <t>2) Jede View/Modul liest aus den entsprechenden Blättern (Home / Projekte / Finanzen).</t>
  </si>
  <si>
    <t>3) INPUT_ZENTRAL enthält Grundparameter (Forecast-Horizont, Miettag, Wohnungen, etc.).</t>
  </si>
  <si>
    <t>4) Datei als /dashboard/Dashboard.xlsx hochladen.</t>
  </si>
  <si>
    <t>Zentrale Eingabemaske (hier pflegen – alle Module nutzen diese Werte)</t>
  </si>
  <si>
    <t>Hellgrün = Eingabe. Empfehlung: Hier startest du, dann Zeitreihen/Listen pflegen.</t>
  </si>
  <si>
    <t>Parameter</t>
  </si>
  <si>
    <t>Beschreibung</t>
  </si>
  <si>
    <t>Wert</t>
  </si>
  <si>
    <t>Hinweis</t>
  </si>
  <si>
    <t>Projekt_Default</t>
  </si>
  <si>
    <t>Standard-Projektname</t>
  </si>
  <si>
    <t>Baumstraße 35</t>
  </si>
  <si>
    <t>wird in Projekte-Views als Default genutzt</t>
  </si>
  <si>
    <t>Wohnungen_gesamt</t>
  </si>
  <si>
    <t>Anzahl Wohneinheiten im Portfolio</t>
  </si>
  <si>
    <t>Auslastung</t>
  </si>
  <si>
    <t>Miettag</t>
  </si>
  <si>
    <t>Tag im Monat der Mieteinnahme</t>
  </si>
  <si>
    <t>Countdown Home</t>
  </si>
  <si>
    <t>Forecast_Monate</t>
  </si>
  <si>
    <t>Forecast Horizont (Monate)</t>
  </si>
  <si>
    <t>Charts/Forecast</t>
  </si>
  <si>
    <t>Ziel_ROI_%</t>
  </si>
  <si>
    <t>Zielrendite p.a.</t>
  </si>
  <si>
    <t>Portfolio KPI</t>
  </si>
  <si>
    <t>Leerstand_Soll_%</t>
  </si>
  <si>
    <t>Ziel-Leerstand in %</t>
  </si>
  <si>
    <t>Benchmark</t>
  </si>
  <si>
    <t>HOME – KPI Zeitreihe (Ist &amp; Forecast-Basis)</t>
  </si>
  <si>
    <t>Monatswerte pflegen für KPI-Charts (6 Monate Rückblick + 3 Monate Forecast).</t>
  </si>
  <si>
    <t>Monat</t>
  </si>
  <si>
    <t>Cashflow</t>
  </si>
  <si>
    <t>Mieteinnahmen</t>
  </si>
  <si>
    <t>Pachteinnahmen</t>
  </si>
  <si>
    <t>Auslastung_%</t>
  </si>
  <si>
    <t>Portfolio_Wert</t>
  </si>
  <si>
    <t>Investiertes_Kapital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</si>
  <si>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</si>
  <si>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</si>
  <si>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</si>
  <si>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</si>
  <si>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</si>
  <si>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</si>
  <si>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</si>
  <si>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</si>
  <si>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</si>
  <si>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</si>
  <si>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PROJEKTE – Gesamtübersicht (Gewerk-Gesamt-Modul)</t>
  </si>
  <si>
    <t>Optional: kann später automatisch aus PROJEKTE_GEWERKE berechnet werden.</t>
  </si>
  <si>
    <t>Projekt</t>
  </si>
  <si>
    <t>Gesamt_Budget</t>
  </si>
  <si>
    <t>Gesamt_Zahlungen</t>
  </si>
  <si>
    <t>Gesamt_Fortschritt_%</t>
  </si>
  <si>
    <t>PROJEKTE – Gewerke/Handwerker (Einzelmodule)</t>
  </si>
  <si>
    <t>Pro Zeile ein Handwerker/Gewerk. Aktiv (Ja/Nein) steuert Anzeige in der View.</t>
  </si>
  <si>
    <t>Gewerk</t>
  </si>
  <si>
    <t>Handwerker</t>
  </si>
  <si>
    <t>Angebotssumme</t>
  </si>
  <si>
    <t>Zahlungen_bisher</t>
  </si>
  <si>
    <t>Baufortschritt_%</t>
  </si>
  <si>
    <t>Aktiv (Ja/Nein)</t>
  </si>
  <si>
    <t>Rohbau</t>
  </si>
  <si>
    <t>Bauunternehmen Meyer</t>
  </si>
  <si>
    <t>Ja</t>
  </si>
  <si>
    <t>Elektro</t>
  </si>
  <si>
    <t>Elektro Schröder</t>
  </si>
  <si>
    <t>Heizung/Sanitär</t>
  </si>
  <si>
    <t>Haustechnik Müller</t>
  </si>
  <si>
    <t>Fenster/Türen</t>
  </si>
  <si>
    <t>Tischlerei Becker</t>
  </si>
  <si>
    <t>Dach</t>
  </si>
  <si>
    <t>Dachdecker Hofmann</t>
  </si>
  <si>
    <t>Innenputz/Maler</t>
  </si>
  <si>
    <t>Malerbetrieb König</t>
  </si>
  <si>
    <t>Bodenbeläge</t>
  </si>
  <si>
    <t>Bodenstudio Nord</t>
  </si>
  <si>
    <t>Fliesen</t>
  </si>
  <si>
    <t>Fliesen Schulte</t>
  </si>
  <si>
    <t>Außenanlagen</t>
  </si>
  <si>
    <t>Gartenbau Grünwerk</t>
  </si>
  <si>
    <t>PV</t>
  </si>
  <si>
    <t>Solartechnik Bremen</t>
  </si>
  <si>
    <t>FINANZEN – Cashflow Zeitreihe</t>
  </si>
  <si>
    <t>Einzahlungen/Auszahlungen pflegen. Cashflow-Spalte kann per Formel berechnet werden.</t>
  </si>
  <si>
    <t>Einzahlungen</t>
  </si>
  <si>
    <t>Auszahlungen</t>
  </si>
  <si>
    <t>FINANZEN – Mieten &amp; Pacht Zeitreihe</t>
  </si>
  <si>
    <t>Wohnungen gesamt/vermietet + Miete/Pacht pflegen (Auslastung ableitbar).</t>
  </si>
  <si>
    <t>Wohnungen_vermietet</t>
  </si>
  <si>
    <t>FINANZEN – Offene Posten (OP)</t>
  </si>
  <si>
    <t>Jede Zeile = ein Posten. Fälligkeit als Datum (dd.mm.yyyy). Betrag positiv eintragen.</t>
  </si>
  <si>
    <t>Bezeichnung</t>
  </si>
  <si>
    <t>Partei</t>
  </si>
  <si>
    <t>Betrag</t>
  </si>
  <si>
    <t>Faelligkeit</t>
  </si>
  <si>
    <t>Handwerker Rechnung Rohbau #12</t>
  </si>
  <si>
    <t>05.12.2025</t>
  </si>
  <si>
    <t>Material Elektro</t>
  </si>
  <si>
    <t>20.12.2025</t>
  </si>
  <si>
    <t>Abschlag Heizung</t>
  </si>
  <si>
    <t>10.01.2026</t>
  </si>
  <si>
    <t>Gerüst</t>
  </si>
  <si>
    <t>Dienstleister Gerüstbau</t>
  </si>
  <si>
    <t>28.11.2025</t>
  </si>
  <si>
    <t>Fliesen Restzahlung</t>
  </si>
  <si>
    <t>15.12.2025</t>
  </si>
  <si>
    <t>Dach – Schlussrechnung</t>
  </si>
  <si>
    <t>02.12.2025</t>
  </si>
  <si>
    <t>FINANZEN – Reserven (Töpfe)</t>
  </si>
  <si>
    <t>Zielwert optional (für Ampel/Zielkorridor im Modul).</t>
  </si>
  <si>
    <t>Topf</t>
  </si>
  <si>
    <t>Zielwert</t>
  </si>
  <si>
    <t>Liquidität (Bank)</t>
  </si>
  <si>
    <t>Instandhaltung</t>
  </si>
  <si>
    <t>Steuer-Rücklage</t>
  </si>
  <si>
    <t>CapEx/Puffer</t>
  </si>
  <si>
    <t>FINANZEN – Budget (Plan/Ist)</t>
  </si>
  <si>
    <t>Monat optional (für Burn-Rate/Trend). Kategorien werden im Budget-Cockpit visualisiert.</t>
  </si>
  <si>
    <t>Kategorie</t>
  </si>
  <si>
    <t>Budget</t>
  </si>
  <si>
    <t>Ist</t>
  </si>
  <si>
    <t>Versicherung</t>
  </si>
  <si>
    <t>2025</t>
  </si>
  <si>
    <t>Instandhaltung laufend</t>
  </si>
  <si>
    <t>Verwaltung/Software</t>
  </si>
  <si>
    <t>Energie Allgemein</t>
  </si>
  <si>
    <t>Zinsen/Finanzierung</t>
  </si>
  <si>
    <t>Marketing/Vermietung</t>
  </si>
  <si>
    <t>Reparaturen Sonder</t>
  </si>
  <si>
    <t>HOME – berechnete Kennzahlen (readonly)</t>
  </si>
  <si>
    <t>Monats-Cashflow</t>
  </si>
  <si>
    <t>Miete</t>
  </si>
  <si>
    <t>Pacht</t>
  </si>
  <si>
    <t>Jahres-Cashflow (roll)</t>
  </si>
  <si>
    <t>ROI (p.a.)</t>
  </si>
  <si>
    <t>Bereich</t>
  </si>
  <si>
    <t>Forecast</t>
  </si>
  <si>
    <t>PROJEKTE – berechnete Gesamtwerte (readonly)</t>
  </si>
  <si>
    <t>Zahlungen</t>
  </si>
  <si>
    <t>Zahlungsquote_%</t>
  </si>
  <si>
    <t>Fortschritt_%</t>
  </si>
  <si>
    <t>Delta</t>
  </si>
  <si>
    <t>Warnstatus</t>
  </si>
  <si>
    <t>Gesamtmodul liest diese Werte</t>
  </si>
  <si>
    <t>FINANZEN – Zusammenfassung (readonly)</t>
  </si>
  <si>
    <t>KPI</t>
  </si>
  <si>
    <t>Quelle</t>
  </si>
  <si>
    <t>Logik</t>
  </si>
  <si>
    <t>Cashflow (YTD)</t>
  </si>
  <si>
    <t>FINANCE_CASHFLOW</t>
  </si>
  <si>
    <t>Summe Jun–Dez 2025</t>
  </si>
  <si>
    <t>Mieteinnahmen (YTD)</t>
  </si>
  <si>
    <t>FINANCE_MIETEN</t>
  </si>
  <si>
    <t>Pachteinnahmen (YTD)</t>
  </si>
  <si>
    <t>OP gesamt</t>
  </si>
  <si>
    <t>FINANCE_OP</t>
  </si>
  <si>
    <t>Summe Beträge</t>
  </si>
  <si>
    <t>Reserven gesamt</t>
  </si>
  <si>
    <t>FINANCE_RESERVEN</t>
  </si>
  <si>
    <t>Summe Töpfe</t>
  </si>
  <si>
    <t>Budget Rest</t>
  </si>
  <si>
    <t>FINANCE_BUDGET</t>
  </si>
  <si>
    <t>Plan-Ist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</si>
</sst>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E2E8F0"/>
      <name val="Calibri"/>
    </font>
    <font>
      <b/>
      <sz val="11"/>
      <color rgb="FFE2E8F0"/>
      <name val="Calibri"/>
    </font>
    <font>
      <sz val="11"/>
      <color rgb="FF94A3B8"/>
      <name val="Calibri"/>
    </font>
    <font>
      <b/>
      <sz val="14"/>
      <color rgb="FFE2E8F0"/>
      <name val="Calibri"/>
    </font>
    <font>
      <i/>
      <sz val="10"/>
      <color rgb="FF94A3B8"/>
      <name val="Calibri"/>
    </font>
    <font>
      <sz val="11"/>
      <color rgb="FF0B1220"/>
      <name val="Calibri"/>
    </font>
    <font>
      <b/>
      <sz val="14"/>
      <color rgb="FF0B122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0F172A"/>
      </patternFill>
    </fill>
    <fill>
      <patternFill patternType="solid">
        <fgColor rgb="FF0B1220"/>
      </patternFill>
    </fill>
    <fill>
      <patternFill patternType="solid">
        <fgColor rgb="FFC6EFCE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3" fillId="3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 wrapText="1"/>
    </xf>
    <xf numFmtId="0" fontId="7" fillId="6" borderId="0" xfId="0" applyFont="1" applyFill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INPUT_ZENTRAL_06eb9d" displayName="T_INPUT_ZENTRAL_06eb9d" ref="A3:D200">
  <autoFilter ref="A3:D200" xr:uid="{00000000-0009-0000-0100-000001000000}"/>
  <tableColumns count="4">
    <tableColumn id="1" xr3:uid="{00000000-0010-0000-0000-000001000000}" name="Parameter"/>
    <tableColumn id="2" xr3:uid="{00000000-0010-0000-0000-000002000000}" name="Beschreibung"/>
    <tableColumn id="3" xr3:uid="{00000000-0010-0000-0000-000003000000}" name="Wert"/>
    <tableColumn id="4" xr3:uid="{00000000-0010-0000-0000-000004000000}" name="Hinwei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HOME_KPI_3ffa38" displayName="T_HOME_KPI_3ffa38" ref="A3:G200">
  <autoFilter ref="A3:G200" xr:uid="{00000000-0009-0000-0100-000002000000}"/>
  <tableColumns count="7">
    <tableColumn id="1" xr3:uid="{00000000-0010-0000-0100-000001000000}" name="Monat"/>
    <tableColumn id="2" xr3:uid="{00000000-0010-0000-0100-000002000000}" name="Cashflow"/>
    <tableColumn id="3" xr3:uid="{00000000-0010-0000-0100-000003000000}" name="Mieteinnahmen"/>
    <tableColumn id="4" xr3:uid="{00000000-0010-0000-0100-000004000000}" name="Pachteinnahmen"/>
    <tableColumn id="5" xr3:uid="{00000000-0010-0000-0100-000005000000}" name="Auslastung_%"/>
    <tableColumn id="6" xr3:uid="{00000000-0010-0000-0100-000006000000}" name="Portfolio_Wert"/>
    <tableColumn id="7" xr3:uid="{00000000-0010-0000-0100-000007000000}" name="Investiertes_Kapita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PROJEKTE_GESAMT_5d1ab7" displayName="T_PROJEKTE_GESAMT_5d1ab7" ref="A3:D200">
  <autoFilter ref="A3:D200" xr:uid="{00000000-0009-0000-0100-000003000000}"/>
  <tableColumns count="4">
    <tableColumn id="1" xr3:uid="{00000000-0010-0000-0200-000001000000}" name="Projekt"/>
    <tableColumn id="2" xr3:uid="{00000000-0010-0000-0200-000002000000}" name="Gesamt_Budget"/>
    <tableColumn id="3" xr3:uid="{00000000-0010-0000-0200-000003000000}" name="Gesamt_Zahlungen"/>
    <tableColumn id="4" xr3:uid="{00000000-0010-0000-0200-000004000000}" name="Gesamt_Fortschritt_%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PROJEKTE_GEWERKE_1694cf" displayName="T_PROJEKTE_GEWERKE_1694cf" ref="A3:G200">
  <autoFilter ref="A3:G200" xr:uid="{00000000-0009-0000-0100-000004000000}"/>
  <tableColumns count="7">
    <tableColumn id="1" xr3:uid="{00000000-0010-0000-0300-000001000000}" name="Projekt"/>
    <tableColumn id="2" xr3:uid="{00000000-0010-0000-0300-000002000000}" name="Gewerk"/>
    <tableColumn id="3" xr3:uid="{00000000-0010-0000-0300-000003000000}" name="Handwerker"/>
    <tableColumn id="4" xr3:uid="{00000000-0010-0000-0300-000004000000}" name="Angebotssumme"/>
    <tableColumn id="5" xr3:uid="{00000000-0010-0000-0300-000005000000}" name="Zahlungen_bisher"/>
    <tableColumn id="6" xr3:uid="{00000000-0010-0000-0300-000006000000}" name="Baufortschritt_%"/>
    <tableColumn id="7" xr3:uid="{00000000-0010-0000-0300-000007000000}" name="Aktiv (Ja/Nein)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FINANCE_CASHFLOW_c8972f" displayName="T_FINANCE_CASHFLOW_c8972f" ref="A3:D200">
  <autoFilter ref="A3:D200" xr:uid="{00000000-0009-0000-0100-000005000000}"/>
  <tableColumns count="4">
    <tableColumn id="1" xr3:uid="{00000000-0010-0000-0400-000001000000}" name="Monat"/>
    <tableColumn id="2" xr3:uid="{00000000-0010-0000-0400-000002000000}" name="Einzahlungen"/>
    <tableColumn id="3" xr3:uid="{00000000-0010-0000-0400-000003000000}" name="Auszahlungen"/>
    <tableColumn id="4" xr3:uid="{00000000-0010-0000-0400-000004000000}" name="Cashflow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FINANCE_MIETEN_15ac91" displayName="T_FINANCE_MIETEN_15ac91" ref="A3:E200">
  <autoFilter ref="A3:E200" xr:uid="{00000000-0009-0000-0100-000006000000}"/>
  <tableColumns count="5">
    <tableColumn id="1" xr3:uid="{00000000-0010-0000-0500-000001000000}" name="Monat"/>
    <tableColumn id="2" xr3:uid="{00000000-0010-0000-0500-000002000000}" name="Wohnungen_gesamt"/>
    <tableColumn id="3" xr3:uid="{00000000-0010-0000-0500-000003000000}" name="Wohnungen_vermietet"/>
    <tableColumn id="4" xr3:uid="{00000000-0010-0000-0500-000004000000}" name="Mieteinnahmen"/>
    <tableColumn id="5" xr3:uid="{00000000-0010-0000-0500-000005000000}" name="Pachteinnahme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FINANCE_OP_2f0e72" displayName="T_FINANCE_OP_2f0e72" ref="A3:D200">
  <autoFilter ref="A3:D200" xr:uid="{00000000-0009-0000-0100-000007000000}"/>
  <tableColumns count="4">
    <tableColumn id="1" xr3:uid="{00000000-0010-0000-0600-000001000000}" name="Bezeichnung"/>
    <tableColumn id="2" xr3:uid="{00000000-0010-0000-0600-000002000000}" name="Partei"/>
    <tableColumn id="3" xr3:uid="{00000000-0010-0000-0600-000003000000}" name="Betrag"/>
    <tableColumn id="4" xr3:uid="{00000000-0010-0000-0600-000004000000}" name="Faelligkei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FINANCE_RESERVEN_e0eb18" displayName="T_FINANCE_RESERVEN_e0eb18" ref="A3:C200">
  <autoFilter ref="A3:C200" xr:uid="{00000000-0009-0000-0100-000008000000}"/>
  <tableColumns count="3">
    <tableColumn id="1" xr3:uid="{00000000-0010-0000-0700-000001000000}" name="Topf"/>
    <tableColumn id="2" xr3:uid="{00000000-0010-0000-0700-000002000000}" name="Betrag"/>
    <tableColumn id="3" xr3:uid="{00000000-0010-0000-0700-000003000000}" name="Zielwert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FINANCE_BUDGET_781c68" displayName="T_FINANCE_BUDGET_781c68" ref="A3:D200">
  <autoFilter ref="A3:D200" xr:uid="{00000000-0009-0000-0100-000009000000}"/>
  <tableColumns count="4">
    <tableColumn id="1" xr3:uid="{00000000-0010-0000-0800-000001000000}" name="Kategorie"/>
    <tableColumn id="2" xr3:uid="{00000000-0010-0000-0800-000002000000}" name="Budget"/>
    <tableColumn id="3" xr3:uid="{00000000-0010-0000-0800-000003000000}" name="Ist"/>
    <tableColumn id="4" xr3:uid="{00000000-0010-0000-0800-000004000000}" name="Mona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/>
  </sheetViews>
  <sheetFormatPr defaultRowHeight="15" x14ac:dyDescent="0.2"/>
  <cols>
    <col min="1" max="6" width="23.9453125" customWidth="1"/>
  </cols>
  <sheetData>
    <row r="1" spans="1:6" ht="30" customHeight="1" x14ac:dyDescent="0.2">
      <c r="A1" s="7" t="s">
        <v>0</v>
      </c>
      <c r="B1" s="8"/>
      <c r="C1" s="8"/>
      <c r="D1" s="8"/>
      <c r="E1" s="8"/>
      <c r="F1" s="8"/>
    </row>
    <row r="3" spans="1:6" ht="20.100000000000001" customHeight="1" x14ac:dyDescent="0.2">
      <c r="A3" s="10" t="s">
        <v>1</v>
      </c>
      <c r="B3" s="8"/>
      <c r="C3" s="8"/>
      <c r="D3" s="8"/>
      <c r="E3" s="8"/>
      <c r="F3" s="8"/>
    </row>
    <row r="4" spans="1:6" ht="18" customHeight="1" x14ac:dyDescent="0.2">
      <c r="A4" s="9" t="s">
        <v>2</v>
      </c>
      <c r="B4" s="8"/>
      <c r="C4" s="8"/>
      <c r="D4" s="8"/>
      <c r="E4" s="8"/>
      <c r="F4" s="8"/>
    </row>
    <row r="5" spans="1:6" ht="18" customHeight="1" x14ac:dyDescent="0.2">
      <c r="A5" s="9" t="s">
        <v>3</v>
      </c>
      <c r="B5" s="8"/>
      <c r="C5" s="8"/>
      <c r="D5" s="8"/>
      <c r="E5" s="8"/>
      <c r="F5" s="8"/>
    </row>
    <row r="6" spans="1:6" ht="18" customHeight="1" x14ac:dyDescent="0.2">
      <c r="A6" s="9" t="s">
        <v>4</v>
      </c>
      <c r="B6" s="8"/>
      <c r="C6" s="8"/>
      <c r="D6" s="8"/>
      <c r="E6" s="8"/>
      <c r="F6" s="8"/>
    </row>
    <row r="7" spans="1:6" ht="18" customHeight="1" x14ac:dyDescent="0.2">
      <c r="A7" s="9" t="s">
        <v>5</v>
      </c>
      <c r="B7" s="8"/>
      <c r="C7" s="8"/>
      <c r="D7" s="8"/>
      <c r="E7" s="8"/>
      <c r="F7" s="8"/>
    </row>
  </sheetData>
  <mergeCells count="6">
    <mergeCell ref="A7:F7"/>
    <mergeCell ref="A1:F1"/>
    <mergeCell ref="A5:F5"/>
    <mergeCell ref="A6:F6"/>
    <mergeCell ref="A4:F4"/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0"/>
  <sheetViews>
    <sheetView workbookViewId="0">
      <pane ySplit="3" topLeftCell="A4" activePane="bottomLeft" state="frozen"/>
      <selection pane="bottomLeft"/>
    </sheetView>
  </sheetViews>
  <sheetFormatPr defaultRowHeight="15" x14ac:dyDescent="0.2"/>
  <cols>
    <col min="1" max="1" width="25.9609375" customWidth="1"/>
    <col min="2" max="2" width="48.0234375" customWidth="1"/>
    <col min="3" max="3" width="18.0234375" customWidth="1"/>
    <col min="4" max="4" width="37.93359375" customWidth="1"/>
  </cols>
  <sheetData>
    <row r="1" spans="1:4" ht="27.95" customHeight="1" x14ac:dyDescent="0.2">
      <c r="A1" s="11" t="s">
        <v>6</v>
      </c>
      <c r="B1" s="8"/>
      <c r="C1" s="8"/>
      <c r="D1" s="8"/>
    </row>
    <row r="2" spans="1:4" ht="33.950000000000003" customHeight="1" x14ac:dyDescent="0.2">
      <c r="A2" s="12" t="s">
        <v>7</v>
      </c>
      <c r="B2" s="8"/>
      <c r="C2" s="8"/>
      <c r="D2" s="8"/>
    </row>
    <row r="3" spans="1:4" ht="21.95" customHeight="1" x14ac:dyDescent="0.2">
      <c r="A3" s="1" t="s">
        <v>8</v>
      </c>
      <c r="B3" s="1" t="s">
        <v>9</v>
      </c>
      <c r="C3" s="1" t="s">
        <v>10</v>
      </c>
      <c r="D3" s="1" t="s">
        <v>11</v>
      </c>
    </row>
    <row r="4" spans="1:4" ht="18" customHeight="1" x14ac:dyDescent="0.2">
      <c r="A4" s="2" t="s">
        <v>12</v>
      </c>
      <c r="B4" s="3" t="s">
        <v>13</v>
      </c>
      <c r="C4" s="4" t="s">
        <v>14</v>
      </c>
      <c r="D4" s="3" t="s">
        <v>15</v>
      </c>
    </row>
    <row r="5" spans="1:4" ht="18" customHeight="1" x14ac:dyDescent="0.2">
      <c r="A5" s="2" t="s">
        <v>16</v>
      </c>
      <c r="B5" s="3" t="s">
        <v>17</v>
      </c>
      <c r="C5" s="4">
        <v>10</v>
      </c>
      <c r="D5" s="3" t="s">
        <v>18</v>
      </c>
    </row>
    <row r="6" spans="1:4" ht="18" customHeight="1" x14ac:dyDescent="0.2">
      <c r="A6" s="2" t="s">
        <v>19</v>
      </c>
      <c r="B6" s="3" t="s">
        <v>20</v>
      </c>
      <c r="C6" s="4">
        <v>1</v>
      </c>
      <c r="D6" s="3" t="s">
        <v>21</v>
      </c>
    </row>
    <row r="7" spans="1:4" ht="18" customHeight="1" x14ac:dyDescent="0.2">
      <c r="A7" s="2" t="s">
        <v>22</v>
      </c>
      <c r="B7" s="3" t="s">
        <v>23</v>
      </c>
      <c r="C7" s="4">
        <v>3</v>
      </c>
      <c r="D7" s="3" t="s">
        <v>24</v>
      </c>
    </row>
    <row r="8" spans="1:4" ht="18" customHeight="1" x14ac:dyDescent="0.2">
      <c r="A8" s="2" t="s">
        <v>25</v>
      </c>
      <c r="B8" s="3" t="s">
        <v>26</v>
      </c>
      <c r="C8" s="4">
        <v>6</v>
      </c>
      <c r="D8" s="3" t="s">
        <v>27</v>
      </c>
    </row>
    <row r="9" spans="1:4" ht="18" customHeight="1" x14ac:dyDescent="0.2">
      <c r="A9" s="2" t="s">
        <v>28</v>
      </c>
      <c r="B9" s="3" t="s">
        <v>29</v>
      </c>
      <c r="C9" s="4">
        <v>5</v>
      </c>
      <c r="D9" s="3" t="s">
        <v>30</v>
      </c>
    </row>
    <row r="10" spans="1:4" ht="18" customHeight="1" x14ac:dyDescent="0.2">
      <c r="A10" s="5"/>
      <c r="B10" s="5"/>
      <c r="C10" s="4"/>
      <c r="D10" s="5"/>
    </row>
    <row r="11" spans="1:4" ht="18" customHeight="1" x14ac:dyDescent="0.2">
      <c r="A11" s="5"/>
      <c r="B11" s="5"/>
      <c r="C11" s="4"/>
      <c r="D11" s="5"/>
    </row>
    <row r="12" spans="1:4" ht="18" customHeight="1" x14ac:dyDescent="0.2">
      <c r="A12" s="5"/>
      <c r="B12" s="5"/>
      <c r="C12" s="4"/>
      <c r="D12" s="5"/>
    </row>
    <row r="13" spans="1:4" ht="18" customHeight="1" x14ac:dyDescent="0.2">
      <c r="A13" s="5"/>
      <c r="B13" s="5"/>
      <c r="C13" s="4"/>
      <c r="D13" s="5"/>
    </row>
    <row r="14" spans="1:4" ht="18" customHeight="1" x14ac:dyDescent="0.2">
      <c r="A14" s="5"/>
      <c r="B14" s="5"/>
      <c r="C14" s="4"/>
      <c r="D14" s="5"/>
    </row>
    <row r="15" spans="1:4" ht="18" customHeight="1" x14ac:dyDescent="0.2">
      <c r="A15" s="5"/>
      <c r="B15" s="5"/>
      <c r="C15" s="4"/>
      <c r="D15" s="5"/>
    </row>
    <row r="16" spans="1:4" ht="18" customHeight="1" x14ac:dyDescent="0.2">
      <c r="A16" s="5"/>
      <c r="B16" s="5"/>
      <c r="C16" s="4"/>
      <c r="D16" s="5"/>
    </row>
    <row r="17" spans="1:4" ht="18" customHeight="1" x14ac:dyDescent="0.2">
      <c r="A17" s="5"/>
      <c r="B17" s="5"/>
      <c r="C17" s="4"/>
      <c r="D17" s="5"/>
    </row>
    <row r="18" spans="1:4" ht="18" customHeight="1" x14ac:dyDescent="0.2">
      <c r="A18" s="5"/>
      <c r="B18" s="5"/>
      <c r="C18" s="4"/>
      <c r="D18" s="5"/>
    </row>
    <row r="19" spans="1:4" ht="18" customHeight="1" x14ac:dyDescent="0.2">
      <c r="A19" s="5"/>
      <c r="B19" s="5"/>
      <c r="C19" s="4"/>
      <c r="D19" s="5"/>
    </row>
    <row r="20" spans="1:4" ht="18" customHeight="1" x14ac:dyDescent="0.2">
      <c r="A20" s="5"/>
      <c r="B20" s="5"/>
      <c r="C20" s="4"/>
      <c r="D20" s="5"/>
    </row>
    <row r="21" spans="1:4" ht="18" customHeight="1" x14ac:dyDescent="0.2">
      <c r="A21" s="5"/>
      <c r="B21" s="5"/>
      <c r="C21" s="4"/>
      <c r="D21" s="5"/>
    </row>
    <row r="22" spans="1:4" ht="18" customHeight="1" x14ac:dyDescent="0.2">
      <c r="A22" s="5"/>
      <c r="B22" s="5"/>
      <c r="C22" s="4"/>
      <c r="D22" s="5"/>
    </row>
    <row r="23" spans="1:4" ht="18" customHeight="1" x14ac:dyDescent="0.2">
      <c r="A23" s="5"/>
      <c r="B23" s="5"/>
      <c r="C23" s="4"/>
      <c r="D23" s="5"/>
    </row>
    <row r="24" spans="1:4" ht="18" customHeight="1" x14ac:dyDescent="0.2">
      <c r="A24" s="5"/>
      <c r="B24" s="5"/>
      <c r="C24" s="4"/>
      <c r="D24" s="5"/>
    </row>
    <row r="25" spans="1:4" ht="18" customHeight="1" x14ac:dyDescent="0.2">
      <c r="A25" s="5"/>
      <c r="B25" s="5"/>
      <c r="C25" s="4"/>
      <c r="D25" s="5"/>
    </row>
    <row r="26" spans="1:4" ht="18" customHeight="1" x14ac:dyDescent="0.2">
      <c r="A26" s="5"/>
      <c r="B26" s="5"/>
      <c r="C26" s="4"/>
      <c r="D26" s="5"/>
    </row>
    <row r="27" spans="1:4" ht="18" customHeight="1" x14ac:dyDescent="0.2">
      <c r="A27" s="5"/>
      <c r="B27" s="5"/>
      <c r="C27" s="4"/>
      <c r="D27" s="5"/>
    </row>
    <row r="28" spans="1:4" ht="18" customHeight="1" x14ac:dyDescent="0.2">
      <c r="A28" s="5"/>
      <c r="B28" s="5"/>
      <c r="C28" s="4"/>
      <c r="D28" s="5"/>
    </row>
    <row r="29" spans="1:4" ht="18" customHeight="1" x14ac:dyDescent="0.2">
      <c r="A29" s="5"/>
      <c r="B29" s="5"/>
      <c r="C29" s="4"/>
      <c r="D29" s="5"/>
    </row>
    <row r="30" spans="1:4" ht="18" customHeight="1" x14ac:dyDescent="0.2">
      <c r="A30" s="5"/>
      <c r="B30" s="5"/>
      <c r="C30" s="4"/>
      <c r="D30" s="5"/>
    </row>
    <row r="31" spans="1:4" ht="18" customHeight="1" x14ac:dyDescent="0.2">
      <c r="A31" s="5"/>
      <c r="B31" s="5"/>
      <c r="C31" s="4"/>
      <c r="D31" s="5"/>
    </row>
    <row r="32" spans="1:4" ht="18" customHeight="1" x14ac:dyDescent="0.2">
      <c r="A32" s="5"/>
      <c r="B32" s="5"/>
      <c r="C32" s="4"/>
      <c r="D32" s="5"/>
    </row>
    <row r="33" spans="1:4" ht="18" customHeight="1" x14ac:dyDescent="0.2">
      <c r="A33" s="5"/>
      <c r="B33" s="5"/>
      <c r="C33" s="4"/>
      <c r="D33" s="5"/>
    </row>
    <row r="34" spans="1:4" ht="18" customHeight="1" x14ac:dyDescent="0.2">
      <c r="A34" s="5"/>
      <c r="B34" s="5"/>
      <c r="C34" s="4"/>
      <c r="D34" s="5"/>
    </row>
    <row r="35" spans="1:4" ht="18" customHeight="1" x14ac:dyDescent="0.2">
      <c r="A35" s="5"/>
      <c r="B35" s="5"/>
      <c r="C35" s="4"/>
      <c r="D35" s="5"/>
    </row>
    <row r="36" spans="1:4" ht="18" customHeight="1" x14ac:dyDescent="0.2">
      <c r="A36" s="5"/>
      <c r="B36" s="5"/>
      <c r="C36" s="4"/>
      <c r="D36" s="5"/>
    </row>
    <row r="37" spans="1:4" ht="18" customHeight="1" x14ac:dyDescent="0.2">
      <c r="A37" s="5"/>
      <c r="B37" s="5"/>
      <c r="C37" s="4"/>
      <c r="D37" s="5"/>
    </row>
    <row r="38" spans="1:4" ht="18" customHeight="1" x14ac:dyDescent="0.2">
      <c r="A38" s="5"/>
      <c r="B38" s="5"/>
      <c r="C38" s="4"/>
      <c r="D38" s="5"/>
    </row>
    <row r="39" spans="1:4" ht="18" customHeight="1" x14ac:dyDescent="0.2">
      <c r="A39" s="5"/>
      <c r="B39" s="5"/>
      <c r="C39" s="4"/>
      <c r="D39" s="5"/>
    </row>
    <row r="40" spans="1:4" ht="18" customHeight="1" x14ac:dyDescent="0.2">
      <c r="A40" s="5"/>
      <c r="B40" s="5"/>
      <c r="C40" s="4"/>
      <c r="D40" s="5"/>
    </row>
    <row r="41" spans="1:4" ht="18" customHeight="1" x14ac:dyDescent="0.2">
      <c r="A41" s="5"/>
      <c r="B41" s="5"/>
      <c r="C41" s="4"/>
      <c r="D41" s="5"/>
    </row>
    <row r="42" spans="1:4" ht="18" customHeight="1" x14ac:dyDescent="0.2">
      <c r="A42" s="5"/>
      <c r="B42" s="5"/>
      <c r="C42" s="4"/>
      <c r="D42" s="5"/>
    </row>
    <row r="43" spans="1:4" ht="18" customHeight="1" x14ac:dyDescent="0.2">
      <c r="A43" s="5"/>
      <c r="B43" s="5"/>
      <c r="C43" s="4"/>
      <c r="D43" s="5"/>
    </row>
    <row r="44" spans="1:4" ht="18" customHeight="1" x14ac:dyDescent="0.2">
      <c r="A44" s="5"/>
      <c r="B44" s="5"/>
      <c r="C44" s="4"/>
      <c r="D44" s="5"/>
    </row>
    <row r="45" spans="1:4" ht="18" customHeight="1" x14ac:dyDescent="0.2">
      <c r="A45" s="5"/>
      <c r="B45" s="5"/>
      <c r="C45" s="4"/>
      <c r="D45" s="5"/>
    </row>
    <row r="46" spans="1:4" ht="18" customHeight="1" x14ac:dyDescent="0.2">
      <c r="A46" s="5"/>
      <c r="B46" s="5"/>
      <c r="C46" s="4"/>
      <c r="D46" s="5"/>
    </row>
    <row r="47" spans="1:4" ht="18" customHeight="1" x14ac:dyDescent="0.2">
      <c r="A47" s="5"/>
      <c r="B47" s="5"/>
      <c r="C47" s="4"/>
      <c r="D47" s="5"/>
    </row>
    <row r="48" spans="1:4" ht="18" customHeight="1" x14ac:dyDescent="0.2">
      <c r="A48" s="5"/>
      <c r="B48" s="5"/>
      <c r="C48" s="4"/>
      <c r="D48" s="5"/>
    </row>
    <row r="49" spans="1:4" ht="18" customHeight="1" x14ac:dyDescent="0.2">
      <c r="A49" s="5"/>
      <c r="B49" s="5"/>
      <c r="C49" s="4"/>
      <c r="D49" s="5"/>
    </row>
    <row r="50" spans="1:4" ht="18" customHeight="1" x14ac:dyDescent="0.2">
      <c r="A50" s="5"/>
      <c r="B50" s="5"/>
      <c r="C50" s="4"/>
      <c r="D50" s="5"/>
    </row>
    <row r="51" spans="1:4" ht="18" customHeight="1" x14ac:dyDescent="0.2">
      <c r="A51" s="5"/>
      <c r="B51" s="5"/>
      <c r="C51" s="4"/>
      <c r="D51" s="5"/>
    </row>
    <row r="52" spans="1:4" ht="18" customHeight="1" x14ac:dyDescent="0.2">
      <c r="A52" s="5"/>
      <c r="B52" s="5"/>
      <c r="C52" s="4"/>
      <c r="D52" s="5"/>
    </row>
    <row r="53" spans="1:4" ht="18" customHeight="1" x14ac:dyDescent="0.2">
      <c r="A53" s="5"/>
      <c r="B53" s="5"/>
      <c r="C53" s="4"/>
      <c r="D53" s="5"/>
    </row>
    <row r="54" spans="1:4" ht="18" customHeight="1" x14ac:dyDescent="0.2">
      <c r="A54" s="5"/>
      <c r="B54" s="5"/>
      <c r="C54" s="4"/>
      <c r="D54" s="5"/>
    </row>
    <row r="55" spans="1:4" ht="18" customHeight="1" x14ac:dyDescent="0.2">
      <c r="A55" s="5"/>
      <c r="B55" s="5"/>
      <c r="C55" s="4"/>
      <c r="D55" s="5"/>
    </row>
    <row r="56" spans="1:4" ht="18" customHeight="1" x14ac:dyDescent="0.2">
      <c r="A56" s="5"/>
      <c r="B56" s="5"/>
      <c r="C56" s="4"/>
      <c r="D56" s="5"/>
    </row>
    <row r="57" spans="1:4" ht="18" customHeight="1" x14ac:dyDescent="0.2">
      <c r="A57" s="5"/>
      <c r="B57" s="5"/>
      <c r="C57" s="4"/>
      <c r="D57" s="5"/>
    </row>
    <row r="58" spans="1:4" ht="18" customHeight="1" x14ac:dyDescent="0.2">
      <c r="A58" s="5"/>
      <c r="B58" s="5"/>
      <c r="C58" s="4"/>
      <c r="D58" s="5"/>
    </row>
    <row r="59" spans="1:4" ht="18" customHeight="1" x14ac:dyDescent="0.2">
      <c r="A59" s="5"/>
      <c r="B59" s="5"/>
      <c r="C59" s="4"/>
      <c r="D59" s="5"/>
    </row>
    <row r="60" spans="1:4" ht="18" customHeight="1" x14ac:dyDescent="0.2">
      <c r="A60" s="5"/>
      <c r="B60" s="5"/>
      <c r="C60" s="4"/>
      <c r="D60" s="5"/>
    </row>
    <row r="61" spans="1:4" ht="18" customHeight="1" x14ac:dyDescent="0.2">
      <c r="A61" s="5"/>
      <c r="B61" s="5"/>
      <c r="C61" s="4"/>
      <c r="D61" s="5"/>
    </row>
    <row r="62" spans="1:4" ht="18" customHeight="1" x14ac:dyDescent="0.2">
      <c r="A62" s="5"/>
      <c r="B62" s="5"/>
      <c r="C62" s="4"/>
      <c r="D62" s="5"/>
    </row>
    <row r="63" spans="1:4" ht="18" customHeight="1" x14ac:dyDescent="0.2">
      <c r="A63" s="5"/>
      <c r="B63" s="5"/>
      <c r="C63" s="4"/>
      <c r="D63" s="5"/>
    </row>
    <row r="64" spans="1:4" ht="18" customHeight="1" x14ac:dyDescent="0.2">
      <c r="A64" s="5"/>
      <c r="B64" s="5"/>
      <c r="C64" s="4"/>
      <c r="D64" s="5"/>
    </row>
    <row r="65" spans="1:4" ht="18" customHeight="1" x14ac:dyDescent="0.2">
      <c r="A65" s="5"/>
      <c r="B65" s="5"/>
      <c r="C65" s="4"/>
      <c r="D65" s="5"/>
    </row>
    <row r="66" spans="1:4" ht="18" customHeight="1" x14ac:dyDescent="0.2">
      <c r="A66" s="5"/>
      <c r="B66" s="5"/>
      <c r="C66" s="4"/>
      <c r="D66" s="5"/>
    </row>
    <row r="67" spans="1:4" ht="18" customHeight="1" x14ac:dyDescent="0.2">
      <c r="A67" s="5"/>
      <c r="B67" s="5"/>
      <c r="C67" s="4"/>
      <c r="D67" s="5"/>
    </row>
    <row r="68" spans="1:4" ht="18" customHeight="1" x14ac:dyDescent="0.2">
      <c r="A68" s="5"/>
      <c r="B68" s="5"/>
      <c r="C68" s="4"/>
      <c r="D68" s="5"/>
    </row>
    <row r="69" spans="1:4" ht="18" customHeight="1" x14ac:dyDescent="0.2">
      <c r="A69" s="5"/>
      <c r="B69" s="5"/>
      <c r="C69" s="4"/>
      <c r="D69" s="5"/>
    </row>
    <row r="70" spans="1:4" ht="18" customHeight="1" x14ac:dyDescent="0.2">
      <c r="A70" s="5"/>
      <c r="B70" s="5"/>
      <c r="C70" s="4"/>
      <c r="D70" s="5"/>
    </row>
    <row r="71" spans="1:4" ht="18" customHeight="1" x14ac:dyDescent="0.2">
      <c r="A71" s="5"/>
      <c r="B71" s="5"/>
      <c r="C71" s="4"/>
      <c r="D71" s="5"/>
    </row>
    <row r="72" spans="1:4" ht="18" customHeight="1" x14ac:dyDescent="0.2">
      <c r="A72" s="5"/>
      <c r="B72" s="5"/>
      <c r="C72" s="4"/>
      <c r="D72" s="5"/>
    </row>
    <row r="73" spans="1:4" ht="18" customHeight="1" x14ac:dyDescent="0.2">
      <c r="A73" s="5"/>
      <c r="B73" s="5"/>
      <c r="C73" s="4"/>
      <c r="D73" s="5"/>
    </row>
    <row r="74" spans="1:4" ht="18" customHeight="1" x14ac:dyDescent="0.2">
      <c r="A74" s="5"/>
      <c r="B74" s="5"/>
      <c r="C74" s="4"/>
      <c r="D74" s="5"/>
    </row>
    <row r="75" spans="1:4" ht="18" customHeight="1" x14ac:dyDescent="0.2">
      <c r="A75" s="5"/>
      <c r="B75" s="5"/>
      <c r="C75" s="4"/>
      <c r="D75" s="5"/>
    </row>
    <row r="76" spans="1:4" ht="18" customHeight="1" x14ac:dyDescent="0.2">
      <c r="A76" s="5"/>
      <c r="B76" s="5"/>
      <c r="C76" s="4"/>
      <c r="D76" s="5"/>
    </row>
    <row r="77" spans="1:4" ht="18" customHeight="1" x14ac:dyDescent="0.2">
      <c r="A77" s="5"/>
      <c r="B77" s="5"/>
      <c r="C77" s="4"/>
      <c r="D77" s="5"/>
    </row>
    <row r="78" spans="1:4" ht="18" customHeight="1" x14ac:dyDescent="0.2">
      <c r="A78" s="5"/>
      <c r="B78" s="5"/>
      <c r="C78" s="4"/>
      <c r="D78" s="5"/>
    </row>
    <row r="79" spans="1:4" ht="18" customHeight="1" x14ac:dyDescent="0.2">
      <c r="A79" s="5"/>
      <c r="B79" s="5"/>
      <c r="C79" s="4"/>
      <c r="D79" s="5"/>
    </row>
    <row r="80" spans="1:4" ht="18" customHeight="1" x14ac:dyDescent="0.2">
      <c r="A80" s="5"/>
      <c r="B80" s="5"/>
      <c r="C80" s="4"/>
      <c r="D80" s="5"/>
    </row>
    <row r="81" spans="1:4" ht="18" customHeight="1" x14ac:dyDescent="0.2">
      <c r="A81" s="5"/>
      <c r="B81" s="5"/>
      <c r="C81" s="4"/>
      <c r="D81" s="5"/>
    </row>
    <row r="82" spans="1:4" ht="18" customHeight="1" x14ac:dyDescent="0.2">
      <c r="A82" s="5"/>
      <c r="B82" s="5"/>
      <c r="C82" s="4"/>
      <c r="D82" s="5"/>
    </row>
    <row r="83" spans="1:4" ht="18" customHeight="1" x14ac:dyDescent="0.2">
      <c r="A83" s="5"/>
      <c r="B83" s="5"/>
      <c r="C83" s="4"/>
      <c r="D83" s="5"/>
    </row>
    <row r="84" spans="1:4" ht="18" customHeight="1" x14ac:dyDescent="0.2">
      <c r="A84" s="5"/>
      <c r="B84" s="5"/>
      <c r="C84" s="4"/>
      <c r="D84" s="5"/>
    </row>
    <row r="85" spans="1:4" ht="18" customHeight="1" x14ac:dyDescent="0.2">
      <c r="A85" s="5"/>
      <c r="B85" s="5"/>
      <c r="C85" s="4"/>
      <c r="D85" s="5"/>
    </row>
    <row r="86" spans="1:4" ht="18" customHeight="1" x14ac:dyDescent="0.2">
      <c r="A86" s="5"/>
      <c r="B86" s="5"/>
      <c r="C86" s="4"/>
      <c r="D86" s="5"/>
    </row>
    <row r="87" spans="1:4" ht="18" customHeight="1" x14ac:dyDescent="0.2">
      <c r="A87" s="5"/>
      <c r="B87" s="5"/>
      <c r="C87" s="4"/>
      <c r="D87" s="5"/>
    </row>
    <row r="88" spans="1:4" ht="18" customHeight="1" x14ac:dyDescent="0.2">
      <c r="A88" s="5"/>
      <c r="B88" s="5"/>
      <c r="C88" s="4"/>
      <c r="D88" s="5"/>
    </row>
    <row r="89" spans="1:4" ht="18" customHeight="1" x14ac:dyDescent="0.2">
      <c r="A89" s="5"/>
      <c r="B89" s="5"/>
      <c r="C89" s="4"/>
      <c r="D89" s="5"/>
    </row>
    <row r="90" spans="1:4" ht="18" customHeight="1" x14ac:dyDescent="0.2">
      <c r="A90" s="5"/>
      <c r="B90" s="5"/>
      <c r="C90" s="4"/>
      <c r="D90" s="5"/>
    </row>
    <row r="91" spans="1:4" ht="18" customHeight="1" x14ac:dyDescent="0.2">
      <c r="A91" s="5"/>
      <c r="B91" s="5"/>
      <c r="C91" s="4"/>
      <c r="D91" s="5"/>
    </row>
    <row r="92" spans="1:4" ht="18" customHeight="1" x14ac:dyDescent="0.2">
      <c r="A92" s="5"/>
      <c r="B92" s="5"/>
      <c r="C92" s="4"/>
      <c r="D92" s="5"/>
    </row>
    <row r="93" spans="1:4" ht="18" customHeight="1" x14ac:dyDescent="0.2">
      <c r="A93" s="5"/>
      <c r="B93" s="5"/>
      <c r="C93" s="4"/>
      <c r="D93" s="5"/>
    </row>
    <row r="94" spans="1:4" ht="18" customHeight="1" x14ac:dyDescent="0.2">
      <c r="A94" s="5"/>
      <c r="B94" s="5"/>
      <c r="C94" s="4"/>
      <c r="D94" s="5"/>
    </row>
    <row r="95" spans="1:4" ht="18" customHeight="1" x14ac:dyDescent="0.2">
      <c r="A95" s="5"/>
      <c r="B95" s="5"/>
      <c r="C95" s="4"/>
      <c r="D95" s="5"/>
    </row>
    <row r="96" spans="1:4" ht="18" customHeight="1" x14ac:dyDescent="0.2">
      <c r="A96" s="5"/>
      <c r="B96" s="5"/>
      <c r="C96" s="4"/>
      <c r="D96" s="5"/>
    </row>
    <row r="97" spans="1:4" ht="18" customHeight="1" x14ac:dyDescent="0.2">
      <c r="A97" s="5"/>
      <c r="B97" s="5"/>
      <c r="C97" s="4"/>
      <c r="D97" s="5"/>
    </row>
    <row r="98" spans="1:4" ht="18" customHeight="1" x14ac:dyDescent="0.2">
      <c r="A98" s="5"/>
      <c r="B98" s="5"/>
      <c r="C98" s="4"/>
      <c r="D98" s="5"/>
    </row>
    <row r="99" spans="1:4" ht="18" customHeight="1" x14ac:dyDescent="0.2">
      <c r="A99" s="5"/>
      <c r="B99" s="5"/>
      <c r="C99" s="4"/>
      <c r="D99" s="5"/>
    </row>
    <row r="100" spans="1:4" ht="18" customHeight="1" x14ac:dyDescent="0.2">
      <c r="A100" s="5"/>
      <c r="B100" s="5"/>
      <c r="C100" s="4"/>
      <c r="D100" s="5"/>
    </row>
    <row r="101" spans="1:4" ht="18" customHeight="1" x14ac:dyDescent="0.2">
      <c r="A101" s="5"/>
      <c r="B101" s="5"/>
      <c r="C101" s="4"/>
      <c r="D101" s="5"/>
    </row>
    <row r="102" spans="1:4" ht="18" customHeight="1" x14ac:dyDescent="0.2">
      <c r="A102" s="5"/>
      <c r="B102" s="5"/>
      <c r="C102" s="4"/>
      <c r="D102" s="5"/>
    </row>
    <row r="103" spans="1:4" ht="18" customHeight="1" x14ac:dyDescent="0.2">
      <c r="A103" s="5"/>
      <c r="B103" s="5"/>
      <c r="C103" s="4"/>
      <c r="D103" s="5"/>
    </row>
    <row r="104" spans="1:4" ht="18" customHeight="1" x14ac:dyDescent="0.2">
      <c r="A104" s="5"/>
      <c r="B104" s="5"/>
      <c r="C104" s="4"/>
      <c r="D104" s="5"/>
    </row>
    <row r="105" spans="1:4" ht="18" customHeight="1" x14ac:dyDescent="0.2">
      <c r="A105" s="5"/>
      <c r="B105" s="5"/>
      <c r="C105" s="4"/>
      <c r="D105" s="5"/>
    </row>
    <row r="106" spans="1:4" ht="18" customHeight="1" x14ac:dyDescent="0.2">
      <c r="A106" s="5"/>
      <c r="B106" s="5"/>
      <c r="C106" s="4"/>
      <c r="D106" s="5"/>
    </row>
    <row r="107" spans="1:4" ht="18" customHeight="1" x14ac:dyDescent="0.2">
      <c r="A107" s="5"/>
      <c r="B107" s="5"/>
      <c r="C107" s="4"/>
      <c r="D107" s="5"/>
    </row>
    <row r="108" spans="1:4" ht="18" customHeight="1" x14ac:dyDescent="0.2">
      <c r="A108" s="5"/>
      <c r="B108" s="5"/>
      <c r="C108" s="4"/>
      <c r="D108" s="5"/>
    </row>
    <row r="109" spans="1:4" ht="18" customHeight="1" x14ac:dyDescent="0.2">
      <c r="A109" s="5"/>
      <c r="B109" s="5"/>
      <c r="C109" s="4"/>
      <c r="D109" s="5"/>
    </row>
    <row r="110" spans="1:4" ht="18" customHeight="1" x14ac:dyDescent="0.2">
      <c r="A110" s="5"/>
      <c r="B110" s="5"/>
      <c r="C110" s="4"/>
      <c r="D110" s="5"/>
    </row>
    <row r="111" spans="1:4" ht="18" customHeight="1" x14ac:dyDescent="0.2">
      <c r="A111" s="5"/>
      <c r="B111" s="5"/>
      <c r="C111" s="4"/>
      <c r="D111" s="5"/>
    </row>
    <row r="112" spans="1:4" ht="18" customHeight="1" x14ac:dyDescent="0.2">
      <c r="A112" s="5"/>
      <c r="B112" s="5"/>
      <c r="C112" s="4"/>
      <c r="D112" s="5"/>
    </row>
    <row r="113" spans="1:4" ht="18" customHeight="1" x14ac:dyDescent="0.2">
      <c r="A113" s="5"/>
      <c r="B113" s="5"/>
      <c r="C113" s="4"/>
      <c r="D113" s="5"/>
    </row>
    <row r="114" spans="1:4" ht="18" customHeight="1" x14ac:dyDescent="0.2">
      <c r="A114" s="5"/>
      <c r="B114" s="5"/>
      <c r="C114" s="4"/>
      <c r="D114" s="5"/>
    </row>
    <row r="115" spans="1:4" ht="18" customHeight="1" x14ac:dyDescent="0.2">
      <c r="A115" s="5"/>
      <c r="B115" s="5"/>
      <c r="C115" s="4"/>
      <c r="D115" s="5"/>
    </row>
    <row r="116" spans="1:4" ht="18" customHeight="1" x14ac:dyDescent="0.2">
      <c r="A116" s="5"/>
      <c r="B116" s="5"/>
      <c r="C116" s="4"/>
      <c r="D116" s="5"/>
    </row>
    <row r="117" spans="1:4" ht="18" customHeight="1" x14ac:dyDescent="0.2">
      <c r="A117" s="5"/>
      <c r="B117" s="5"/>
      <c r="C117" s="4"/>
      <c r="D117" s="5"/>
    </row>
    <row r="118" spans="1:4" ht="18" customHeight="1" x14ac:dyDescent="0.2">
      <c r="A118" s="5"/>
      <c r="B118" s="5"/>
      <c r="C118" s="4"/>
      <c r="D118" s="5"/>
    </row>
    <row r="119" spans="1:4" ht="18" customHeight="1" x14ac:dyDescent="0.2">
      <c r="A119" s="5"/>
      <c r="B119" s="5"/>
      <c r="C119" s="4"/>
      <c r="D119" s="5"/>
    </row>
    <row r="120" spans="1:4" ht="18" customHeight="1" x14ac:dyDescent="0.2">
      <c r="A120" s="5"/>
      <c r="B120" s="5"/>
      <c r="C120" s="4"/>
      <c r="D120" s="5"/>
    </row>
    <row r="121" spans="1:4" ht="18" customHeight="1" x14ac:dyDescent="0.2">
      <c r="A121" s="5"/>
      <c r="B121" s="5"/>
      <c r="C121" s="4"/>
      <c r="D121" s="5"/>
    </row>
    <row r="122" spans="1:4" ht="18" customHeight="1" x14ac:dyDescent="0.2">
      <c r="A122" s="5"/>
      <c r="B122" s="5"/>
      <c r="C122" s="4"/>
      <c r="D122" s="5"/>
    </row>
    <row r="123" spans="1:4" ht="18" customHeight="1" x14ac:dyDescent="0.2">
      <c r="A123" s="5"/>
      <c r="B123" s="5"/>
      <c r="C123" s="4"/>
      <c r="D123" s="5"/>
    </row>
    <row r="124" spans="1:4" ht="18" customHeight="1" x14ac:dyDescent="0.2">
      <c r="A124" s="5"/>
      <c r="B124" s="5"/>
      <c r="C124" s="4"/>
      <c r="D124" s="5"/>
    </row>
    <row r="125" spans="1:4" ht="18" customHeight="1" x14ac:dyDescent="0.2">
      <c r="A125" s="5"/>
      <c r="B125" s="5"/>
      <c r="C125" s="4"/>
      <c r="D125" s="5"/>
    </row>
    <row r="126" spans="1:4" ht="18" customHeight="1" x14ac:dyDescent="0.2">
      <c r="A126" s="5"/>
      <c r="B126" s="5"/>
      <c r="C126" s="4"/>
      <c r="D126" s="5"/>
    </row>
    <row r="127" spans="1:4" ht="18" customHeight="1" x14ac:dyDescent="0.2">
      <c r="A127" s="5"/>
      <c r="B127" s="5"/>
      <c r="C127" s="4"/>
      <c r="D127" s="5"/>
    </row>
    <row r="128" spans="1:4" ht="18" customHeight="1" x14ac:dyDescent="0.2">
      <c r="A128" s="5"/>
      <c r="B128" s="5"/>
      <c r="C128" s="4"/>
      <c r="D128" s="5"/>
    </row>
    <row r="129" spans="1:4" ht="18" customHeight="1" x14ac:dyDescent="0.2">
      <c r="A129" s="5"/>
      <c r="B129" s="5"/>
      <c r="C129" s="4"/>
      <c r="D129" s="5"/>
    </row>
    <row r="130" spans="1:4" ht="18" customHeight="1" x14ac:dyDescent="0.2">
      <c r="A130" s="5"/>
      <c r="B130" s="5"/>
      <c r="C130" s="4"/>
      <c r="D130" s="5"/>
    </row>
    <row r="131" spans="1:4" ht="18" customHeight="1" x14ac:dyDescent="0.2">
      <c r="A131" s="5"/>
      <c r="B131" s="5"/>
      <c r="C131" s="4"/>
      <c r="D131" s="5"/>
    </row>
    <row r="132" spans="1:4" ht="18" customHeight="1" x14ac:dyDescent="0.2">
      <c r="A132" s="5"/>
      <c r="B132" s="5"/>
      <c r="C132" s="4"/>
      <c r="D132" s="5"/>
    </row>
    <row r="133" spans="1:4" ht="18" customHeight="1" x14ac:dyDescent="0.2">
      <c r="A133" s="5"/>
      <c r="B133" s="5"/>
      <c r="C133" s="4"/>
      <c r="D133" s="5"/>
    </row>
    <row r="134" spans="1:4" ht="18" customHeight="1" x14ac:dyDescent="0.2">
      <c r="A134" s="5"/>
      <c r="B134" s="5"/>
      <c r="C134" s="4"/>
      <c r="D134" s="5"/>
    </row>
    <row r="135" spans="1:4" ht="18" customHeight="1" x14ac:dyDescent="0.2">
      <c r="A135" s="5"/>
      <c r="B135" s="5"/>
      <c r="C135" s="4"/>
      <c r="D135" s="5"/>
    </row>
    <row r="136" spans="1:4" ht="18" customHeight="1" x14ac:dyDescent="0.2">
      <c r="A136" s="5"/>
      <c r="B136" s="5"/>
      <c r="C136" s="4"/>
      <c r="D136" s="5"/>
    </row>
    <row r="137" spans="1:4" ht="18" customHeight="1" x14ac:dyDescent="0.2">
      <c r="A137" s="5"/>
      <c r="B137" s="5"/>
      <c r="C137" s="4"/>
      <c r="D137" s="5"/>
    </row>
    <row r="138" spans="1:4" ht="18" customHeight="1" x14ac:dyDescent="0.2">
      <c r="A138" s="5"/>
      <c r="B138" s="5"/>
      <c r="C138" s="4"/>
      <c r="D138" s="5"/>
    </row>
    <row r="139" spans="1:4" ht="18" customHeight="1" x14ac:dyDescent="0.2">
      <c r="A139" s="5"/>
      <c r="B139" s="5"/>
      <c r="C139" s="4"/>
      <c r="D139" s="5"/>
    </row>
    <row r="140" spans="1:4" ht="18" customHeight="1" x14ac:dyDescent="0.2">
      <c r="A140" s="5"/>
      <c r="B140" s="5"/>
      <c r="C140" s="4"/>
      <c r="D140" s="5"/>
    </row>
    <row r="141" spans="1:4" ht="18" customHeight="1" x14ac:dyDescent="0.2">
      <c r="A141" s="5"/>
      <c r="B141" s="5"/>
      <c r="C141" s="4"/>
      <c r="D141" s="5"/>
    </row>
    <row r="142" spans="1:4" ht="18" customHeight="1" x14ac:dyDescent="0.2">
      <c r="A142" s="5"/>
      <c r="B142" s="5"/>
      <c r="C142" s="4"/>
      <c r="D142" s="5"/>
    </row>
    <row r="143" spans="1:4" ht="18" customHeight="1" x14ac:dyDescent="0.2">
      <c r="A143" s="5"/>
      <c r="B143" s="5"/>
      <c r="C143" s="4"/>
      <c r="D143" s="5"/>
    </row>
    <row r="144" spans="1:4" ht="18" customHeight="1" x14ac:dyDescent="0.2">
      <c r="A144" s="5"/>
      <c r="B144" s="5"/>
      <c r="C144" s="4"/>
      <c r="D144" s="5"/>
    </row>
    <row r="145" spans="1:4" ht="18" customHeight="1" x14ac:dyDescent="0.2">
      <c r="A145" s="5"/>
      <c r="B145" s="5"/>
      <c r="C145" s="4"/>
      <c r="D145" s="5"/>
    </row>
    <row r="146" spans="1:4" ht="18" customHeight="1" x14ac:dyDescent="0.2">
      <c r="A146" s="5"/>
      <c r="B146" s="5"/>
      <c r="C146" s="4"/>
      <c r="D146" s="5"/>
    </row>
    <row r="147" spans="1:4" ht="18" customHeight="1" x14ac:dyDescent="0.2">
      <c r="A147" s="5"/>
      <c r="B147" s="5"/>
      <c r="C147" s="4"/>
      <c r="D147" s="5"/>
    </row>
    <row r="148" spans="1:4" ht="18" customHeight="1" x14ac:dyDescent="0.2">
      <c r="A148" s="5"/>
      <c r="B148" s="5"/>
      <c r="C148" s="4"/>
      <c r="D148" s="5"/>
    </row>
    <row r="149" spans="1:4" ht="18" customHeight="1" x14ac:dyDescent="0.2">
      <c r="A149" s="5"/>
      <c r="B149" s="5"/>
      <c r="C149" s="4"/>
      <c r="D149" s="5"/>
    </row>
    <row r="150" spans="1:4" ht="18" customHeight="1" x14ac:dyDescent="0.2">
      <c r="A150" s="5"/>
      <c r="B150" s="5"/>
      <c r="C150" s="4"/>
      <c r="D150" s="5"/>
    </row>
    <row r="151" spans="1:4" ht="18" customHeight="1" x14ac:dyDescent="0.2">
      <c r="A151" s="5"/>
      <c r="B151" s="5"/>
      <c r="C151" s="4"/>
      <c r="D151" s="5"/>
    </row>
    <row r="152" spans="1:4" ht="18" customHeight="1" x14ac:dyDescent="0.2">
      <c r="A152" s="5"/>
      <c r="B152" s="5"/>
      <c r="C152" s="4"/>
      <c r="D152" s="5"/>
    </row>
    <row r="153" spans="1:4" ht="18" customHeight="1" x14ac:dyDescent="0.2">
      <c r="A153" s="5"/>
      <c r="B153" s="5"/>
      <c r="C153" s="4"/>
      <c r="D153" s="5"/>
    </row>
    <row r="154" spans="1:4" ht="18" customHeight="1" x14ac:dyDescent="0.2">
      <c r="A154" s="5"/>
      <c r="B154" s="5"/>
      <c r="C154" s="4"/>
      <c r="D154" s="5"/>
    </row>
    <row r="155" spans="1:4" ht="18" customHeight="1" x14ac:dyDescent="0.2">
      <c r="A155" s="5"/>
      <c r="B155" s="5"/>
      <c r="C155" s="4"/>
      <c r="D155" s="5"/>
    </row>
    <row r="156" spans="1:4" ht="18" customHeight="1" x14ac:dyDescent="0.2">
      <c r="A156" s="5"/>
      <c r="B156" s="5"/>
      <c r="C156" s="4"/>
      <c r="D156" s="5"/>
    </row>
    <row r="157" spans="1:4" ht="18" customHeight="1" x14ac:dyDescent="0.2">
      <c r="A157" s="5"/>
      <c r="B157" s="5"/>
      <c r="C157" s="4"/>
      <c r="D157" s="5"/>
    </row>
    <row r="158" spans="1:4" ht="18" customHeight="1" x14ac:dyDescent="0.2">
      <c r="A158" s="5"/>
      <c r="B158" s="5"/>
      <c r="C158" s="4"/>
      <c r="D158" s="5"/>
    </row>
    <row r="159" spans="1:4" ht="18" customHeight="1" x14ac:dyDescent="0.2">
      <c r="A159" s="5"/>
      <c r="B159" s="5"/>
      <c r="C159" s="4"/>
      <c r="D159" s="5"/>
    </row>
    <row r="160" spans="1:4" ht="18" customHeight="1" x14ac:dyDescent="0.2">
      <c r="A160" s="5"/>
      <c r="B160" s="5"/>
      <c r="C160" s="4"/>
      <c r="D160" s="5"/>
    </row>
    <row r="161" spans="1:4" ht="18" customHeight="1" x14ac:dyDescent="0.2">
      <c r="A161" s="5"/>
      <c r="B161" s="5"/>
      <c r="C161" s="4"/>
      <c r="D161" s="5"/>
    </row>
    <row r="162" spans="1:4" ht="18" customHeight="1" x14ac:dyDescent="0.2">
      <c r="A162" s="5"/>
      <c r="B162" s="5"/>
      <c r="C162" s="4"/>
      <c r="D162" s="5"/>
    </row>
    <row r="163" spans="1:4" ht="18" customHeight="1" x14ac:dyDescent="0.2">
      <c r="A163" s="5"/>
      <c r="B163" s="5"/>
      <c r="C163" s="4"/>
      <c r="D163" s="5"/>
    </row>
    <row r="164" spans="1:4" ht="18" customHeight="1" x14ac:dyDescent="0.2">
      <c r="A164" s="5"/>
      <c r="B164" s="5"/>
      <c r="C164" s="4"/>
      <c r="D164" s="5"/>
    </row>
    <row r="165" spans="1:4" ht="18" customHeight="1" x14ac:dyDescent="0.2">
      <c r="A165" s="5"/>
      <c r="B165" s="5"/>
      <c r="C165" s="4"/>
      <c r="D165" s="5"/>
    </row>
    <row r="166" spans="1:4" ht="18" customHeight="1" x14ac:dyDescent="0.2">
      <c r="A166" s="5"/>
      <c r="B166" s="5"/>
      <c r="C166" s="4"/>
      <c r="D166" s="5"/>
    </row>
    <row r="167" spans="1:4" ht="18" customHeight="1" x14ac:dyDescent="0.2">
      <c r="A167" s="5"/>
      <c r="B167" s="5"/>
      <c r="C167" s="4"/>
      <c r="D167" s="5"/>
    </row>
    <row r="168" spans="1:4" ht="18" customHeight="1" x14ac:dyDescent="0.2">
      <c r="A168" s="5"/>
      <c r="B168" s="5"/>
      <c r="C168" s="4"/>
      <c r="D168" s="5"/>
    </row>
    <row r="169" spans="1:4" ht="18" customHeight="1" x14ac:dyDescent="0.2">
      <c r="A169" s="5"/>
      <c r="B169" s="5"/>
      <c r="C169" s="4"/>
      <c r="D169" s="5"/>
    </row>
    <row r="170" spans="1:4" ht="18" customHeight="1" x14ac:dyDescent="0.2">
      <c r="A170" s="5"/>
      <c r="B170" s="5"/>
      <c r="C170" s="4"/>
      <c r="D170" s="5"/>
    </row>
    <row r="171" spans="1:4" ht="18" customHeight="1" x14ac:dyDescent="0.2">
      <c r="A171" s="5"/>
      <c r="B171" s="5"/>
      <c r="C171" s="4"/>
      <c r="D171" s="5"/>
    </row>
    <row r="172" spans="1:4" ht="18" customHeight="1" x14ac:dyDescent="0.2">
      <c r="A172" s="5"/>
      <c r="B172" s="5"/>
      <c r="C172" s="4"/>
      <c r="D172" s="5"/>
    </row>
    <row r="173" spans="1:4" ht="18" customHeight="1" x14ac:dyDescent="0.2">
      <c r="A173" s="5"/>
      <c r="B173" s="5"/>
      <c r="C173" s="4"/>
      <c r="D173" s="5"/>
    </row>
    <row r="174" spans="1:4" ht="18" customHeight="1" x14ac:dyDescent="0.2">
      <c r="A174" s="5"/>
      <c r="B174" s="5"/>
      <c r="C174" s="4"/>
      <c r="D174" s="5"/>
    </row>
    <row r="175" spans="1:4" ht="18" customHeight="1" x14ac:dyDescent="0.2">
      <c r="A175" s="5"/>
      <c r="B175" s="5"/>
      <c r="C175" s="4"/>
      <c r="D175" s="5"/>
    </row>
    <row r="176" spans="1:4" ht="18" customHeight="1" x14ac:dyDescent="0.2">
      <c r="A176" s="5"/>
      <c r="B176" s="5"/>
      <c r="C176" s="4"/>
      <c r="D176" s="5"/>
    </row>
    <row r="177" spans="1:4" ht="18" customHeight="1" x14ac:dyDescent="0.2">
      <c r="A177" s="5"/>
      <c r="B177" s="5"/>
      <c r="C177" s="4"/>
      <c r="D177" s="5"/>
    </row>
    <row r="178" spans="1:4" ht="18" customHeight="1" x14ac:dyDescent="0.2">
      <c r="A178" s="5"/>
      <c r="B178" s="5"/>
      <c r="C178" s="4"/>
      <c r="D178" s="5"/>
    </row>
    <row r="179" spans="1:4" ht="18" customHeight="1" x14ac:dyDescent="0.2">
      <c r="A179" s="5"/>
      <c r="B179" s="5"/>
      <c r="C179" s="4"/>
      <c r="D179" s="5"/>
    </row>
    <row r="180" spans="1:4" ht="18" customHeight="1" x14ac:dyDescent="0.2">
      <c r="A180" s="5"/>
      <c r="B180" s="5"/>
      <c r="C180" s="4"/>
      <c r="D180" s="5"/>
    </row>
    <row r="181" spans="1:4" ht="18" customHeight="1" x14ac:dyDescent="0.2">
      <c r="A181" s="5"/>
      <c r="B181" s="5"/>
      <c r="C181" s="4"/>
      <c r="D181" s="5"/>
    </row>
    <row r="182" spans="1:4" ht="18" customHeight="1" x14ac:dyDescent="0.2">
      <c r="A182" s="5"/>
      <c r="B182" s="5"/>
      <c r="C182" s="4"/>
      <c r="D182" s="5"/>
    </row>
    <row r="183" spans="1:4" ht="18" customHeight="1" x14ac:dyDescent="0.2">
      <c r="A183" s="5"/>
      <c r="B183" s="5"/>
      <c r="C183" s="4"/>
      <c r="D183" s="5"/>
    </row>
    <row r="184" spans="1:4" ht="18" customHeight="1" x14ac:dyDescent="0.2">
      <c r="A184" s="5"/>
      <c r="B184" s="5"/>
      <c r="C184" s="4"/>
      <c r="D184" s="5"/>
    </row>
    <row r="185" spans="1:4" ht="18" customHeight="1" x14ac:dyDescent="0.2">
      <c r="A185" s="5"/>
      <c r="B185" s="5"/>
      <c r="C185" s="4"/>
      <c r="D185" s="5"/>
    </row>
    <row r="186" spans="1:4" ht="18" customHeight="1" x14ac:dyDescent="0.2">
      <c r="A186" s="5"/>
      <c r="B186" s="5"/>
      <c r="C186" s="4"/>
      <c r="D186" s="5"/>
    </row>
    <row r="187" spans="1:4" ht="18" customHeight="1" x14ac:dyDescent="0.2">
      <c r="A187" s="5"/>
      <c r="B187" s="5"/>
      <c r="C187" s="4"/>
      <c r="D187" s="5"/>
    </row>
    <row r="188" spans="1:4" ht="18" customHeight="1" x14ac:dyDescent="0.2">
      <c r="A188" s="5"/>
      <c r="B188" s="5"/>
      <c r="C188" s="4"/>
      <c r="D188" s="5"/>
    </row>
    <row r="189" spans="1:4" ht="18" customHeight="1" x14ac:dyDescent="0.2">
      <c r="A189" s="5"/>
      <c r="B189" s="5"/>
      <c r="C189" s="4"/>
      <c r="D189" s="5"/>
    </row>
    <row r="190" spans="1:4" ht="18" customHeight="1" x14ac:dyDescent="0.2">
      <c r="A190" s="5"/>
      <c r="B190" s="5"/>
      <c r="C190" s="4"/>
      <c r="D190" s="5"/>
    </row>
    <row r="191" spans="1:4" ht="18" customHeight="1" x14ac:dyDescent="0.2">
      <c r="A191" s="5"/>
      <c r="B191" s="5"/>
      <c r="C191" s="4"/>
      <c r="D191" s="5"/>
    </row>
    <row r="192" spans="1:4" ht="18" customHeight="1" x14ac:dyDescent="0.2">
      <c r="A192" s="5"/>
      <c r="B192" s="5"/>
      <c r="C192" s="4"/>
      <c r="D192" s="5"/>
    </row>
    <row r="193" spans="1:4" ht="18" customHeight="1" x14ac:dyDescent="0.2">
      <c r="A193" s="5"/>
      <c r="B193" s="5"/>
      <c r="C193" s="4"/>
      <c r="D193" s="5"/>
    </row>
    <row r="194" spans="1:4" ht="18" customHeight="1" x14ac:dyDescent="0.2">
      <c r="A194" s="5"/>
      <c r="B194" s="5"/>
      <c r="C194" s="4"/>
      <c r="D194" s="5"/>
    </row>
    <row r="195" spans="1:4" ht="18" customHeight="1" x14ac:dyDescent="0.2">
      <c r="A195" s="5"/>
      <c r="B195" s="5"/>
      <c r="C195" s="4"/>
      <c r="D195" s="5"/>
    </row>
    <row r="196" spans="1:4" ht="18" customHeight="1" x14ac:dyDescent="0.2">
      <c r="A196" s="5"/>
      <c r="B196" s="5"/>
      <c r="C196" s="4"/>
      <c r="D196" s="5"/>
    </row>
    <row r="197" spans="1:4" ht="18" customHeight="1" x14ac:dyDescent="0.2">
      <c r="A197" s="5"/>
      <c r="B197" s="5"/>
      <c r="C197" s="4"/>
      <c r="D197" s="5"/>
    </row>
    <row r="198" spans="1:4" ht="18" customHeight="1" x14ac:dyDescent="0.2">
      <c r="A198" s="5"/>
      <c r="B198" s="5"/>
      <c r="C198" s="4"/>
      <c r="D198" s="5"/>
    </row>
    <row r="199" spans="1:4" ht="18" customHeight="1" x14ac:dyDescent="0.2">
      <c r="A199" s="5"/>
      <c r="B199" s="5"/>
      <c r="C199" s="4"/>
      <c r="D199" s="5"/>
    </row>
    <row r="200" spans="1:4" ht="18" customHeight="1" x14ac:dyDescent="0.2">
      <c r="A200" s="5"/>
      <c r="B200" s="5"/>
      <c r="C200" s="4"/>
      <c r="D200" s="5"/>
    </row>
  </sheetData>
  <mergeCells count="2">
    <mergeCell ref="A1:D1"/>
    <mergeCell ref="A2:D2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0"/>
  <sheetViews>
    <sheetView workbookViewId="0">
      <pane ySplit="3" topLeftCell="A4" activePane="bottomLeft" state="frozen"/>
      <selection pane="bottomLeft"/>
    </sheetView>
  </sheetViews>
  <sheetFormatPr defaultRowHeight="15" x14ac:dyDescent="0.2"/>
  <cols>
    <col min="1" max="1" width="11.97265625" customWidth="1"/>
    <col min="2" max="2" width="13.98828125" customWidth="1"/>
    <col min="3" max="4" width="16.0078125" customWidth="1"/>
    <col min="5" max="5" width="13.98828125" customWidth="1"/>
    <col min="6" max="6" width="18.0234375" customWidth="1"/>
    <col min="7" max="7" width="20.04296875" customWidth="1"/>
  </cols>
  <sheetData>
    <row r="1" spans="1:7" ht="27.95" customHeight="1" x14ac:dyDescent="0.2">
      <c r="A1" s="11" t="s">
        <v>31</v>
      </c>
      <c r="B1" s="8"/>
      <c r="C1" s="8"/>
      <c r="D1" s="8"/>
      <c r="E1" s="8"/>
      <c r="F1" s="8"/>
      <c r="G1" s="8"/>
    </row>
    <row r="2" spans="1:7" ht="33.950000000000003" customHeight="1" x14ac:dyDescent="0.2">
      <c r="A2" s="12" t="s">
        <v>32</v>
      </c>
      <c r="B2" s="8"/>
      <c r="C2" s="8"/>
      <c r="D2" s="8"/>
      <c r="E2" s="8"/>
      <c r="F2" s="8"/>
      <c r="G2" s="8"/>
    </row>
    <row r="3" spans="1:7" ht="21.95" customHeight="1" x14ac:dyDescent="0.2">
      <c r="A3" s="1" t="s">
        <v>33</v>
      </c>
      <c r="B3" s="1" t="s">
        <v>34</v>
      </c>
      <c r="C3" s="1" t="s">
        <v>35</v>
      </c>
      <c r="D3" s="1" t="s">
        <v>36</v>
      </c>
      <c r="E3" s="1" t="s">
        <v>37</v>
      </c>
      <c r="F3" s="1" t="s">
        <v>38</v>
      </c>
      <c r="G3" s="1" t="s">
        <v>39</v>
      </c>
    </row>
    <row r="4" spans="1:7" ht="18" customHeight="1" x14ac:dyDescent="0.2">
      <c r="A4" s="4" t="s">
        <v>40</v>
      </c>
      <c r="B4" s="4">
        <v>8781</v>
      </c>
      <c r="C4" s="4">
        <v>24531</v>
      </c>
      <c r="D4" s="4">
        <v>2758</v>
      </c>
      <c r="E4" s="4">
        <v>92.2</v>
      </c>
      <c r="F4" s="4">
        <v>2453675</v>
      </c>
      <c r="G4" s="4">
        <v>2050000</v>
      </c>
    </row>
    <row r="5" spans="1:7" ht="18" customHeight="1" x14ac:dyDescent="0.2">
      <c r="A5" s="4" t="s">
        <v>41</v>
      </c>
      <c r="B5" s="4">
        <v>9399</v>
      </c>
      <c r="C5" s="4">
        <v>24394</v>
      </c>
      <c r="D5" s="4">
        <v>2897</v>
      </c>
      <c r="E5" s="4">
        <v>92.1</v>
      </c>
      <c r="F5" s="4">
        <v>2457356</v>
      </c>
      <c r="G5" s="4">
        <v>2050000</v>
      </c>
    </row>
    <row r="6" spans="1:7" ht="18" customHeight="1" x14ac:dyDescent="0.2">
      <c r="A6" s="4" t="s">
        <v>42</v>
      </c>
      <c r="B6" s="4">
        <v>8789</v>
      </c>
      <c r="C6" s="4">
        <v>24499</v>
      </c>
      <c r="D6" s="4">
        <v>2929</v>
      </c>
      <c r="E6" s="4">
        <v>92</v>
      </c>
      <c r="F6" s="4">
        <v>2461042</v>
      </c>
      <c r="G6" s="4">
        <v>2050000</v>
      </c>
    </row>
    <row r="7" spans="1:7" ht="18" customHeight="1" x14ac:dyDescent="0.2">
      <c r="A7" s="4" t="s">
        <v>43</v>
      </c>
      <c r="B7" s="4">
        <v>10108</v>
      </c>
      <c r="C7" s="4">
        <v>25004</v>
      </c>
      <c r="D7" s="4">
        <v>2947</v>
      </c>
      <c r="E7" s="4">
        <v>92.6</v>
      </c>
      <c r="F7" s="4">
        <v>2464733</v>
      </c>
      <c r="G7" s="4">
        <v>2065000</v>
      </c>
    </row>
    <row r="8" spans="1:7" ht="18" customHeight="1" x14ac:dyDescent="0.2">
      <c r="A8" s="4" t="s">
        <v>44</v>
      </c>
      <c r="B8" s="4">
        <v>10411</v>
      </c>
      <c r="C8" s="4">
        <v>25244</v>
      </c>
      <c r="D8" s="4">
        <v>2988</v>
      </c>
      <c r="E8" s="4">
        <v>93.6</v>
      </c>
      <c r="F8" s="4">
        <v>2468430</v>
      </c>
      <c r="G8" s="4">
        <v>2065000</v>
      </c>
    </row>
    <row r="9" spans="1:7" ht="18" customHeight="1" x14ac:dyDescent="0.2">
      <c r="A9" s="4" t="s">
        <v>45</v>
      </c>
      <c r="B9" s="4">
        <v>8912</v>
      </c>
      <c r="C9" s="4">
        <v>24926</v>
      </c>
      <c r="D9" s="4">
        <v>2977</v>
      </c>
      <c r="E9" s="4">
        <v>93.7</v>
      </c>
      <c r="F9" s="4">
        <v>2472133</v>
      </c>
      <c r="G9" s="4">
        <v>2065000</v>
      </c>
    </row>
    <row r="10" spans="1:7" ht="18" customHeight="1" x14ac:dyDescent="0.2">
      <c r="A10" s="4" t="s">
        <v>46</v>
      </c>
      <c r="B10" s="4">
        <v>9191</v>
      </c>
      <c r="C10" s="4">
        <v>24983</v>
      </c>
      <c r="D10" s="4">
        <v>3107</v>
      </c>
      <c r="E10" s="4">
        <v>93.7</v>
      </c>
      <c r="F10" s="4">
        <v>2475841</v>
      </c>
      <c r="G10" s="4">
        <v>2065000</v>
      </c>
    </row>
    <row r="11" spans="1:7" ht="18" customHeight="1" x14ac:dyDescent="0.2">
      <c r="A11" s="4" t="s">
        <v>47</v>
      </c>
      <c r="B11" s="4">
        <v>8937</v>
      </c>
      <c r="C11" s="4">
        <v>25266</v>
      </c>
      <c r="D11" s="4">
        <v>3011</v>
      </c>
      <c r="E11" s="4">
        <v>94.5</v>
      </c>
      <c r="F11" s="4">
        <v>2479555</v>
      </c>
      <c r="G11" s="4">
        <v>2065000</v>
      </c>
    </row>
    <row r="12" spans="1:7" ht="18" customHeight="1" x14ac:dyDescent="0.2">
      <c r="A12" s="4" t="s">
        <v>48</v>
      </c>
      <c r="B12" s="4">
        <v>10608</v>
      </c>
      <c r="C12" s="4">
        <v>25456</v>
      </c>
      <c r="D12" s="4">
        <v>3147</v>
      </c>
      <c r="E12" s="4">
        <v>94.4</v>
      </c>
      <c r="F12" s="4">
        <v>2483274</v>
      </c>
      <c r="G12" s="4">
        <v>2065000</v>
      </c>
    </row>
    <row r="13" spans="1:7" ht="18" customHeight="1" x14ac:dyDescent="0.2">
      <c r="A13" s="4" t="s">
        <v>49</v>
      </c>
      <c r="B13" s="4">
        <v>10175</v>
      </c>
      <c r="C13" s="4">
        <v>25864</v>
      </c>
      <c r="D13" s="4">
        <v>3158</v>
      </c>
      <c r="E13" s="4">
        <v>95.1</v>
      </c>
      <c r="F13" s="4">
        <v>2486999</v>
      </c>
      <c r="G13" s="4">
        <v>2080000</v>
      </c>
    </row>
    <row r="14" spans="1:7" ht="18" customHeight="1" x14ac:dyDescent="0.2">
      <c r="A14" s="4"/>
      <c r="B14" s="4"/>
      <c r="C14" s="4"/>
      <c r="D14" s="4"/>
      <c r="E14" s="4"/>
      <c r="F14" s="4"/>
      <c r="G14" s="4"/>
    </row>
    <row r="15" spans="1:7" ht="18" customHeight="1" x14ac:dyDescent="0.2">
      <c r="A15" s="4"/>
      <c r="B15" s="4"/>
      <c r="C15" s="4"/>
      <c r="D15" s="4"/>
      <c r="E15" s="4"/>
      <c r="F15" s="4"/>
      <c r="G15" s="4"/>
    </row>
    <row r="16" spans="1:7" ht="18" customHeight="1" x14ac:dyDescent="0.2">
      <c r="A16" s="4"/>
      <c r="B16" s="4"/>
      <c r="C16" s="4"/>
      <c r="D16" s="4"/>
      <c r="E16" s="4"/>
      <c r="F16" s="4"/>
      <c r="G16" s="4"/>
    </row>
    <row r="17" spans="1:7" ht="18" customHeight="1" x14ac:dyDescent="0.2">
      <c r="A17" s="4"/>
      <c r="B17" s="4"/>
      <c r="C17" s="4"/>
      <c r="D17" s="4"/>
      <c r="E17" s="4"/>
      <c r="F17" s="4"/>
      <c r="G17" s="4"/>
    </row>
    <row r="18" spans="1:7" ht="18" customHeight="1" x14ac:dyDescent="0.2">
      <c r="A18" s="4"/>
      <c r="B18" s="4"/>
      <c r="C18" s="4"/>
      <c r="D18" s="4"/>
      <c r="E18" s="4"/>
      <c r="F18" s="4"/>
      <c r="G18" s="4"/>
    </row>
    <row r="19" spans="1:7" ht="18" customHeight="1" x14ac:dyDescent="0.2">
      <c r="A19" s="4"/>
      <c r="B19" s="4"/>
      <c r="C19" s="4"/>
      <c r="D19" s="4"/>
      <c r="E19" s="4"/>
      <c r="F19" s="4"/>
      <c r="G19" s="4"/>
    </row>
    <row r="20" spans="1:7" ht="18" customHeight="1" x14ac:dyDescent="0.2">
      <c r="A20" s="4"/>
      <c r="B20" s="4"/>
      <c r="C20" s="4"/>
      <c r="D20" s="4"/>
      <c r="E20" s="4"/>
      <c r="F20" s="4"/>
      <c r="G20" s="4"/>
    </row>
    <row r="21" spans="1:7" ht="18" customHeight="1" x14ac:dyDescent="0.2">
      <c r="A21" s="4"/>
      <c r="B21" s="4"/>
      <c r="C21" s="4"/>
      <c r="D21" s="4"/>
      <c r="E21" s="4"/>
      <c r="F21" s="4"/>
      <c r="G21" s="4"/>
    </row>
    <row r="22" spans="1:7" ht="18" customHeight="1" x14ac:dyDescent="0.2">
      <c r="A22" s="4"/>
      <c r="B22" s="4"/>
      <c r="C22" s="4"/>
      <c r="D22" s="4"/>
      <c r="E22" s="4"/>
      <c r="F22" s="4"/>
      <c r="G22" s="4"/>
    </row>
    <row r="23" spans="1:7" ht="18" customHeight="1" x14ac:dyDescent="0.2">
      <c r="A23" s="4"/>
      <c r="B23" s="4"/>
      <c r="C23" s="4"/>
      <c r="D23" s="4"/>
      <c r="E23" s="4"/>
      <c r="F23" s="4"/>
      <c r="G23" s="4"/>
    </row>
    <row r="24" spans="1:7" ht="18" customHeight="1" x14ac:dyDescent="0.2">
      <c r="A24" s="4"/>
      <c r="B24" s="4"/>
      <c r="C24" s="4"/>
      <c r="D24" s="4"/>
      <c r="E24" s="4"/>
      <c r="F24" s="4"/>
      <c r="G24" s="4"/>
    </row>
    <row r="25" spans="1:7" ht="18" customHeight="1" x14ac:dyDescent="0.2">
      <c r="A25" s="4"/>
      <c r="B25" s="4"/>
      <c r="C25" s="4"/>
      <c r="D25" s="4"/>
      <c r="E25" s="4"/>
      <c r="F25" s="4"/>
      <c r="G25" s="4"/>
    </row>
    <row r="26" spans="1:7" ht="18" customHeight="1" x14ac:dyDescent="0.2">
      <c r="A26" s="4"/>
      <c r="B26" s="4"/>
      <c r="C26" s="4"/>
      <c r="D26" s="4"/>
      <c r="E26" s="4"/>
      <c r="F26" s="4"/>
      <c r="G26" s="4"/>
    </row>
    <row r="27" spans="1:7" ht="18" customHeight="1" x14ac:dyDescent="0.2">
      <c r="A27" s="4"/>
      <c r="B27" s="4"/>
      <c r="C27" s="4"/>
      <c r="D27" s="4"/>
      <c r="E27" s="4"/>
      <c r="F27" s="4"/>
      <c r="G27" s="4"/>
    </row>
    <row r="28" spans="1:7" ht="18" customHeight="1" x14ac:dyDescent="0.2">
      <c r="A28" s="4"/>
      <c r="B28" s="4"/>
      <c r="C28" s="4"/>
      <c r="D28" s="4"/>
      <c r="E28" s="4"/>
      <c r="F28" s="4"/>
      <c r="G28" s="4"/>
    </row>
    <row r="29" spans="1:7" ht="18" customHeight="1" x14ac:dyDescent="0.2">
      <c r="A29" s="4"/>
      <c r="B29" s="4"/>
      <c r="C29" s="4"/>
      <c r="D29" s="4"/>
      <c r="E29" s="4"/>
      <c r="F29" s="4"/>
      <c r="G29" s="4"/>
    </row>
    <row r="30" spans="1:7" ht="18" customHeight="1" x14ac:dyDescent="0.2">
      <c r="A30" s="4"/>
      <c r="B30" s="4"/>
      <c r="C30" s="4"/>
      <c r="D30" s="4"/>
      <c r="E30" s="4"/>
      <c r="F30" s="4"/>
      <c r="G30" s="4"/>
    </row>
    <row r="31" spans="1:7" ht="18" customHeight="1" x14ac:dyDescent="0.2">
      <c r="A31" s="4"/>
      <c r="B31" s="4"/>
      <c r="C31" s="4"/>
      <c r="D31" s="4"/>
      <c r="E31" s="4"/>
      <c r="F31" s="4"/>
      <c r="G31" s="4"/>
    </row>
    <row r="32" spans="1:7" ht="18" customHeight="1" x14ac:dyDescent="0.2">
      <c r="A32" s="4"/>
      <c r="B32" s="4"/>
      <c r="C32" s="4"/>
      <c r="D32" s="4"/>
      <c r="E32" s="4"/>
      <c r="F32" s="4"/>
      <c r="G32" s="4"/>
    </row>
    <row r="33" spans="1:7" ht="18" customHeight="1" x14ac:dyDescent="0.2">
      <c r="A33" s="4"/>
      <c r="B33" s="4"/>
      <c r="C33" s="4"/>
      <c r="D33" s="4"/>
      <c r="E33" s="4"/>
      <c r="F33" s="4"/>
      <c r="G33" s="4"/>
    </row>
    <row r="34" spans="1:7" ht="18" customHeight="1" x14ac:dyDescent="0.2">
      <c r="A34" s="4"/>
      <c r="B34" s="4"/>
      <c r="C34" s="4"/>
      <c r="D34" s="4"/>
      <c r="E34" s="4"/>
      <c r="F34" s="4"/>
      <c r="G34" s="4"/>
    </row>
    <row r="35" spans="1:7" ht="18" customHeight="1" x14ac:dyDescent="0.2">
      <c r="A35" s="4"/>
      <c r="B35" s="4"/>
      <c r="C35" s="4"/>
      <c r="D35" s="4"/>
      <c r="E35" s="4"/>
      <c r="F35" s="4"/>
      <c r="G35" s="4"/>
    </row>
    <row r="36" spans="1:7" ht="18" customHeight="1" x14ac:dyDescent="0.2">
      <c r="A36" s="4"/>
      <c r="B36" s="4"/>
      <c r="C36" s="4"/>
      <c r="D36" s="4"/>
      <c r="E36" s="4"/>
      <c r="F36" s="4"/>
      <c r="G36" s="4"/>
    </row>
    <row r="37" spans="1:7" ht="18" customHeight="1" x14ac:dyDescent="0.2">
      <c r="A37" s="4"/>
      <c r="B37" s="4"/>
      <c r="C37" s="4"/>
      <c r="D37" s="4"/>
      <c r="E37" s="4"/>
      <c r="F37" s="4"/>
      <c r="G37" s="4"/>
    </row>
    <row r="38" spans="1:7" ht="18" customHeight="1" x14ac:dyDescent="0.2">
      <c r="A38" s="4"/>
      <c r="B38" s="4"/>
      <c r="C38" s="4"/>
      <c r="D38" s="4"/>
      <c r="E38" s="4"/>
      <c r="F38" s="4"/>
      <c r="G38" s="4"/>
    </row>
    <row r="39" spans="1:7" ht="18" customHeight="1" x14ac:dyDescent="0.2">
      <c r="A39" s="4"/>
      <c r="B39" s="4"/>
      <c r="C39" s="4"/>
      <c r="D39" s="4"/>
      <c r="E39" s="4"/>
      <c r="F39" s="4"/>
      <c r="G39" s="4"/>
    </row>
    <row r="40" spans="1:7" ht="18" customHeight="1" x14ac:dyDescent="0.2">
      <c r="A40" s="4"/>
      <c r="B40" s="4"/>
      <c r="C40" s="4"/>
      <c r="D40" s="4"/>
      <c r="E40" s="4"/>
      <c r="F40" s="4"/>
      <c r="G40" s="4"/>
    </row>
    <row r="41" spans="1:7" ht="18" customHeight="1" x14ac:dyDescent="0.2">
      <c r="A41" s="4"/>
      <c r="B41" s="4"/>
      <c r="C41" s="4"/>
      <c r="D41" s="4"/>
      <c r="E41" s="4"/>
      <c r="F41" s="4"/>
      <c r="G41" s="4"/>
    </row>
    <row r="42" spans="1:7" ht="18" customHeight="1" x14ac:dyDescent="0.2">
      <c r="A42" s="4"/>
      <c r="B42" s="4"/>
      <c r="C42" s="4"/>
      <c r="D42" s="4"/>
      <c r="E42" s="4"/>
      <c r="F42" s="4"/>
      <c r="G42" s="4"/>
    </row>
    <row r="43" spans="1:7" ht="18" customHeight="1" x14ac:dyDescent="0.2">
      <c r="A43" s="4"/>
      <c r="B43" s="4"/>
      <c r="C43" s="4"/>
      <c r="D43" s="4"/>
      <c r="E43" s="4"/>
      <c r="F43" s="4"/>
      <c r="G43" s="4"/>
    </row>
    <row r="44" spans="1:7" ht="18" customHeight="1" x14ac:dyDescent="0.2">
      <c r="A44" s="4"/>
      <c r="B44" s="4"/>
      <c r="C44" s="4"/>
      <c r="D44" s="4"/>
      <c r="E44" s="4"/>
      <c r="F44" s="4"/>
      <c r="G44" s="4"/>
    </row>
    <row r="45" spans="1:7" ht="18" customHeight="1" x14ac:dyDescent="0.2">
      <c r="A45" s="4"/>
      <c r="B45" s="4"/>
      <c r="C45" s="4"/>
      <c r="D45" s="4"/>
      <c r="E45" s="4"/>
      <c r="F45" s="4"/>
      <c r="G45" s="4"/>
    </row>
    <row r="46" spans="1:7" ht="18" customHeight="1" x14ac:dyDescent="0.2">
      <c r="A46" s="4"/>
      <c r="B46" s="4"/>
      <c r="C46" s="4"/>
      <c r="D46" s="4"/>
      <c r="E46" s="4"/>
      <c r="F46" s="4"/>
      <c r="G46" s="4"/>
    </row>
    <row r="47" spans="1:7" ht="18" customHeight="1" x14ac:dyDescent="0.2">
      <c r="A47" s="4"/>
      <c r="B47" s="4"/>
      <c r="C47" s="4"/>
      <c r="D47" s="4"/>
      <c r="E47" s="4"/>
      <c r="F47" s="4"/>
      <c r="G47" s="4"/>
    </row>
    <row r="48" spans="1:7" ht="18" customHeight="1" x14ac:dyDescent="0.2">
      <c r="A48" s="4"/>
      <c r="B48" s="4"/>
      <c r="C48" s="4"/>
      <c r="D48" s="4"/>
      <c r="E48" s="4"/>
      <c r="F48" s="4"/>
      <c r="G48" s="4"/>
    </row>
    <row r="49" spans="1:7" ht="18" customHeight="1" x14ac:dyDescent="0.2">
      <c r="A49" s="4"/>
      <c r="B49" s="4"/>
      <c r="C49" s="4"/>
      <c r="D49" s="4"/>
      <c r="E49" s="4"/>
      <c r="F49" s="4"/>
      <c r="G49" s="4"/>
    </row>
    <row r="50" spans="1:7" ht="18" customHeight="1" x14ac:dyDescent="0.2">
      <c r="A50" s="4"/>
      <c r="B50" s="4"/>
      <c r="C50" s="4"/>
      <c r="D50" s="4"/>
      <c r="E50" s="4"/>
      <c r="F50" s="4"/>
      <c r="G50" s="4"/>
    </row>
    <row r="51" spans="1:7" ht="18" customHeight="1" x14ac:dyDescent="0.2">
      <c r="A51" s="4"/>
      <c r="B51" s="4"/>
      <c r="C51" s="4"/>
      <c r="D51" s="4"/>
      <c r="E51" s="4"/>
      <c r="F51" s="4"/>
      <c r="G51" s="4"/>
    </row>
    <row r="52" spans="1:7" ht="18" customHeight="1" x14ac:dyDescent="0.2">
      <c r="A52" s="4"/>
      <c r="B52" s="4"/>
      <c r="C52" s="4"/>
      <c r="D52" s="4"/>
      <c r="E52" s="4"/>
      <c r="F52" s="4"/>
      <c r="G52" s="4"/>
    </row>
    <row r="53" spans="1:7" ht="18" customHeight="1" x14ac:dyDescent="0.2">
      <c r="A53" s="4"/>
      <c r="B53" s="4"/>
      <c r="C53" s="4"/>
      <c r="D53" s="4"/>
      <c r="E53" s="4"/>
      <c r="F53" s="4"/>
      <c r="G53" s="4"/>
    </row>
    <row r="54" spans="1:7" ht="18" customHeight="1" x14ac:dyDescent="0.2">
      <c r="A54" s="4"/>
      <c r="B54" s="4"/>
      <c r="C54" s="4"/>
      <c r="D54" s="4"/>
      <c r="E54" s="4"/>
      <c r="F54" s="4"/>
      <c r="G54" s="4"/>
    </row>
    <row r="55" spans="1:7" ht="18" customHeight="1" x14ac:dyDescent="0.2">
      <c r="A55" s="4"/>
      <c r="B55" s="4"/>
      <c r="C55" s="4"/>
      <c r="D55" s="4"/>
      <c r="E55" s="4"/>
      <c r="F55" s="4"/>
      <c r="G55" s="4"/>
    </row>
    <row r="56" spans="1:7" ht="18" customHeight="1" x14ac:dyDescent="0.2">
      <c r="A56" s="4"/>
      <c r="B56" s="4"/>
      <c r="C56" s="4"/>
      <c r="D56" s="4"/>
      <c r="E56" s="4"/>
      <c r="F56" s="4"/>
      <c r="G56" s="4"/>
    </row>
    <row r="57" spans="1:7" ht="18" customHeight="1" x14ac:dyDescent="0.2">
      <c r="A57" s="4"/>
      <c r="B57" s="4"/>
      <c r="C57" s="4"/>
      <c r="D57" s="4"/>
      <c r="E57" s="4"/>
      <c r="F57" s="4"/>
      <c r="G57" s="4"/>
    </row>
    <row r="58" spans="1:7" ht="18" customHeight="1" x14ac:dyDescent="0.2">
      <c r="A58" s="4"/>
      <c r="B58" s="4"/>
      <c r="C58" s="4"/>
      <c r="D58" s="4"/>
      <c r="E58" s="4"/>
      <c r="F58" s="4"/>
      <c r="G58" s="4"/>
    </row>
    <row r="59" spans="1:7" ht="18" customHeight="1" x14ac:dyDescent="0.2">
      <c r="A59" s="4"/>
      <c r="B59" s="4"/>
      <c r="C59" s="4"/>
      <c r="D59" s="4"/>
      <c r="E59" s="4"/>
      <c r="F59" s="4"/>
      <c r="G59" s="4"/>
    </row>
    <row r="60" spans="1:7" ht="18" customHeight="1" x14ac:dyDescent="0.2">
      <c r="A60" s="4"/>
      <c r="B60" s="4"/>
      <c r="C60" s="4"/>
      <c r="D60" s="4"/>
      <c r="E60" s="4"/>
      <c r="F60" s="4"/>
      <c r="G60" s="4"/>
    </row>
    <row r="61" spans="1:7" ht="18" customHeight="1" x14ac:dyDescent="0.2">
      <c r="A61" s="4"/>
      <c r="B61" s="4"/>
      <c r="C61" s="4"/>
      <c r="D61" s="4"/>
      <c r="E61" s="4"/>
      <c r="F61" s="4"/>
      <c r="G61" s="4"/>
    </row>
    <row r="62" spans="1:7" ht="18" customHeight="1" x14ac:dyDescent="0.2">
      <c r="A62" s="4"/>
      <c r="B62" s="4"/>
      <c r="C62" s="4"/>
      <c r="D62" s="4"/>
      <c r="E62" s="4"/>
      <c r="F62" s="4"/>
      <c r="G62" s="4"/>
    </row>
    <row r="63" spans="1:7" ht="18" customHeight="1" x14ac:dyDescent="0.2">
      <c r="A63" s="4"/>
      <c r="B63" s="4"/>
      <c r="C63" s="4"/>
      <c r="D63" s="4"/>
      <c r="E63" s="4"/>
      <c r="F63" s="4"/>
      <c r="G63" s="4"/>
    </row>
    <row r="64" spans="1:7" ht="18" customHeight="1" x14ac:dyDescent="0.2">
      <c r="A64" s="4"/>
      <c r="B64" s="4"/>
      <c r="C64" s="4"/>
      <c r="D64" s="4"/>
      <c r="E64" s="4"/>
      <c r="F64" s="4"/>
      <c r="G64" s="4"/>
    </row>
    <row r="65" spans="1:7" ht="18" customHeight="1" x14ac:dyDescent="0.2">
      <c r="A65" s="4"/>
      <c r="B65" s="4"/>
      <c r="C65" s="4"/>
      <c r="D65" s="4"/>
      <c r="E65" s="4"/>
      <c r="F65" s="4"/>
      <c r="G65" s="4"/>
    </row>
    <row r="66" spans="1:7" ht="18" customHeight="1" x14ac:dyDescent="0.2">
      <c r="A66" s="4"/>
      <c r="B66" s="4"/>
      <c r="C66" s="4"/>
      <c r="D66" s="4"/>
      <c r="E66" s="4"/>
      <c r="F66" s="4"/>
      <c r="G66" s="4"/>
    </row>
    <row r="67" spans="1:7" ht="18" customHeight="1" x14ac:dyDescent="0.2">
      <c r="A67" s="4"/>
      <c r="B67" s="4"/>
      <c r="C67" s="4"/>
      <c r="D67" s="4"/>
      <c r="E67" s="4"/>
      <c r="F67" s="4"/>
      <c r="G67" s="4"/>
    </row>
    <row r="68" spans="1:7" ht="18" customHeight="1" x14ac:dyDescent="0.2">
      <c r="A68" s="4"/>
      <c r="B68" s="4"/>
      <c r="C68" s="4"/>
      <c r="D68" s="4"/>
      <c r="E68" s="4"/>
      <c r="F68" s="4"/>
      <c r="G68" s="4"/>
    </row>
    <row r="69" spans="1:7" ht="18" customHeight="1" x14ac:dyDescent="0.2">
      <c r="A69" s="4"/>
      <c r="B69" s="4"/>
      <c r="C69" s="4"/>
      <c r="D69" s="4"/>
      <c r="E69" s="4"/>
      <c r="F69" s="4"/>
      <c r="G69" s="4"/>
    </row>
    <row r="70" spans="1:7" ht="18" customHeight="1" x14ac:dyDescent="0.2">
      <c r="A70" s="4"/>
      <c r="B70" s="4"/>
      <c r="C70" s="4"/>
      <c r="D70" s="4"/>
      <c r="E70" s="4"/>
      <c r="F70" s="4"/>
      <c r="G70" s="4"/>
    </row>
    <row r="71" spans="1:7" ht="18" customHeight="1" x14ac:dyDescent="0.2">
      <c r="A71" s="4"/>
      <c r="B71" s="4"/>
      <c r="C71" s="4"/>
      <c r="D71" s="4"/>
      <c r="E71" s="4"/>
      <c r="F71" s="4"/>
      <c r="G71" s="4"/>
    </row>
    <row r="72" spans="1:7" ht="18" customHeight="1" x14ac:dyDescent="0.2">
      <c r="A72" s="4"/>
      <c r="B72" s="4"/>
      <c r="C72" s="4"/>
      <c r="D72" s="4"/>
      <c r="E72" s="4"/>
      <c r="F72" s="4"/>
      <c r="G72" s="4"/>
    </row>
    <row r="73" spans="1:7" ht="18" customHeight="1" x14ac:dyDescent="0.2">
      <c r="A73" s="4"/>
      <c r="B73" s="4"/>
      <c r="C73" s="4"/>
      <c r="D73" s="4"/>
      <c r="E73" s="4"/>
      <c r="F73" s="4"/>
      <c r="G73" s="4"/>
    </row>
    <row r="74" spans="1:7" ht="18" customHeight="1" x14ac:dyDescent="0.2">
      <c r="A74" s="4"/>
      <c r="B74" s="4"/>
      <c r="C74" s="4"/>
      <c r="D74" s="4"/>
      <c r="E74" s="4"/>
      <c r="F74" s="4"/>
      <c r="G74" s="4"/>
    </row>
    <row r="75" spans="1:7" ht="18" customHeight="1" x14ac:dyDescent="0.2">
      <c r="A75" s="4"/>
      <c r="B75" s="4"/>
      <c r="C75" s="4"/>
      <c r="D75" s="4"/>
      <c r="E75" s="4"/>
      <c r="F75" s="4"/>
      <c r="G75" s="4"/>
    </row>
    <row r="76" spans="1:7" ht="18" customHeight="1" x14ac:dyDescent="0.2">
      <c r="A76" s="4"/>
      <c r="B76" s="4"/>
      <c r="C76" s="4"/>
      <c r="D76" s="4"/>
      <c r="E76" s="4"/>
      <c r="F76" s="4"/>
      <c r="G76" s="4"/>
    </row>
    <row r="77" spans="1:7" ht="18" customHeight="1" x14ac:dyDescent="0.2">
      <c r="A77" s="4"/>
      <c r="B77" s="4"/>
      <c r="C77" s="4"/>
      <c r="D77" s="4"/>
      <c r="E77" s="4"/>
      <c r="F77" s="4"/>
      <c r="G77" s="4"/>
    </row>
    <row r="78" spans="1:7" ht="18" customHeight="1" x14ac:dyDescent="0.2">
      <c r="A78" s="4"/>
      <c r="B78" s="4"/>
      <c r="C78" s="4"/>
      <c r="D78" s="4"/>
      <c r="E78" s="4"/>
      <c r="F78" s="4"/>
      <c r="G78" s="4"/>
    </row>
    <row r="79" spans="1:7" ht="18" customHeight="1" x14ac:dyDescent="0.2">
      <c r="A79" s="4"/>
      <c r="B79" s="4"/>
      <c r="C79" s="4"/>
      <c r="D79" s="4"/>
      <c r="E79" s="4"/>
      <c r="F79" s="4"/>
      <c r="G79" s="4"/>
    </row>
    <row r="80" spans="1:7" ht="18" customHeight="1" x14ac:dyDescent="0.2">
      <c r="A80" s="4"/>
      <c r="B80" s="4"/>
      <c r="C80" s="4"/>
      <c r="D80" s="4"/>
      <c r="E80" s="4"/>
      <c r="F80" s="4"/>
      <c r="G80" s="4"/>
    </row>
    <row r="81" spans="1:7" ht="18" customHeight="1" x14ac:dyDescent="0.2">
      <c r="A81" s="4"/>
      <c r="B81" s="4"/>
      <c r="C81" s="4"/>
      <c r="D81" s="4"/>
      <c r="E81" s="4"/>
      <c r="F81" s="4"/>
      <c r="G81" s="4"/>
    </row>
    <row r="82" spans="1:7" ht="18" customHeight="1" x14ac:dyDescent="0.2">
      <c r="A82" s="4"/>
      <c r="B82" s="4"/>
      <c r="C82" s="4"/>
      <c r="D82" s="4"/>
      <c r="E82" s="4"/>
      <c r="F82" s="4"/>
      <c r="G82" s="4"/>
    </row>
    <row r="83" spans="1:7" ht="18" customHeight="1" x14ac:dyDescent="0.2">
      <c r="A83" s="4"/>
      <c r="B83" s="4"/>
      <c r="C83" s="4"/>
      <c r="D83" s="4"/>
      <c r="E83" s="4"/>
      <c r="F83" s="4"/>
      <c r="G83" s="4"/>
    </row>
    <row r="84" spans="1:7" ht="18" customHeight="1" x14ac:dyDescent="0.2">
      <c r="A84" s="4"/>
      <c r="B84" s="4"/>
      <c r="C84" s="4"/>
      <c r="D84" s="4"/>
      <c r="E84" s="4"/>
      <c r="F84" s="4"/>
      <c r="G84" s="4"/>
    </row>
    <row r="85" spans="1:7" ht="18" customHeight="1" x14ac:dyDescent="0.2">
      <c r="A85" s="4"/>
      <c r="B85" s="4"/>
      <c r="C85" s="4"/>
      <c r="D85" s="4"/>
      <c r="E85" s="4"/>
      <c r="F85" s="4"/>
      <c r="G85" s="4"/>
    </row>
    <row r="86" spans="1:7" ht="18" customHeight="1" x14ac:dyDescent="0.2">
      <c r="A86" s="4"/>
      <c r="B86" s="4"/>
      <c r="C86" s="4"/>
      <c r="D86" s="4"/>
      <c r="E86" s="4"/>
      <c r="F86" s="4"/>
      <c r="G86" s="4"/>
    </row>
    <row r="87" spans="1:7" ht="18" customHeight="1" x14ac:dyDescent="0.2">
      <c r="A87" s="4"/>
      <c r="B87" s="4"/>
      <c r="C87" s="4"/>
      <c r="D87" s="4"/>
      <c r="E87" s="4"/>
      <c r="F87" s="4"/>
      <c r="G87" s="4"/>
    </row>
    <row r="88" spans="1:7" ht="18" customHeight="1" x14ac:dyDescent="0.2">
      <c r="A88" s="4"/>
      <c r="B88" s="4"/>
      <c r="C88" s="4"/>
      <c r="D88" s="4"/>
      <c r="E88" s="4"/>
      <c r="F88" s="4"/>
      <c r="G88" s="4"/>
    </row>
    <row r="89" spans="1:7" ht="18" customHeight="1" x14ac:dyDescent="0.2">
      <c r="A89" s="4"/>
      <c r="B89" s="4"/>
      <c r="C89" s="4"/>
      <c r="D89" s="4"/>
      <c r="E89" s="4"/>
      <c r="F89" s="4"/>
      <c r="G89" s="4"/>
    </row>
    <row r="90" spans="1:7" ht="18" customHeight="1" x14ac:dyDescent="0.2">
      <c r="A90" s="4"/>
      <c r="B90" s="4"/>
      <c r="C90" s="4"/>
      <c r="D90" s="4"/>
      <c r="E90" s="4"/>
      <c r="F90" s="4"/>
      <c r="G90" s="4"/>
    </row>
    <row r="91" spans="1:7" ht="18" customHeight="1" x14ac:dyDescent="0.2">
      <c r="A91" s="4"/>
      <c r="B91" s="4"/>
      <c r="C91" s="4"/>
      <c r="D91" s="4"/>
      <c r="E91" s="4"/>
      <c r="F91" s="4"/>
      <c r="G91" s="4"/>
    </row>
    <row r="92" spans="1:7" ht="18" customHeight="1" x14ac:dyDescent="0.2">
      <c r="A92" s="4"/>
      <c r="B92" s="4"/>
      <c r="C92" s="4"/>
      <c r="D92" s="4"/>
      <c r="E92" s="4"/>
      <c r="F92" s="4"/>
      <c r="G92" s="4"/>
    </row>
    <row r="93" spans="1:7" ht="18" customHeight="1" x14ac:dyDescent="0.2">
      <c r="A93" s="4"/>
      <c r="B93" s="4"/>
      <c r="C93" s="4"/>
      <c r="D93" s="4"/>
      <c r="E93" s="4"/>
      <c r="F93" s="4"/>
      <c r="G93" s="4"/>
    </row>
    <row r="94" spans="1:7" ht="18" customHeight="1" x14ac:dyDescent="0.2">
      <c r="A94" s="4"/>
      <c r="B94" s="4"/>
      <c r="C94" s="4"/>
      <c r="D94" s="4"/>
      <c r="E94" s="4"/>
      <c r="F94" s="4"/>
      <c r="G94" s="4"/>
    </row>
    <row r="95" spans="1:7" ht="18" customHeight="1" x14ac:dyDescent="0.2">
      <c r="A95" s="4"/>
      <c r="B95" s="4"/>
      <c r="C95" s="4"/>
      <c r="D95" s="4"/>
      <c r="E95" s="4"/>
      <c r="F95" s="4"/>
      <c r="G95" s="4"/>
    </row>
    <row r="96" spans="1:7" ht="18" customHeight="1" x14ac:dyDescent="0.2">
      <c r="A96" s="4"/>
      <c r="B96" s="4"/>
      <c r="C96" s="4"/>
      <c r="D96" s="4"/>
      <c r="E96" s="4"/>
      <c r="F96" s="4"/>
      <c r="G96" s="4"/>
    </row>
    <row r="97" spans="1:7" ht="18" customHeight="1" x14ac:dyDescent="0.2">
      <c r="A97" s="4"/>
      <c r="B97" s="4"/>
      <c r="C97" s="4"/>
      <c r="D97" s="4"/>
      <c r="E97" s="4"/>
      <c r="F97" s="4"/>
      <c r="G97" s="4"/>
    </row>
    <row r="98" spans="1:7" ht="18" customHeight="1" x14ac:dyDescent="0.2">
      <c r="A98" s="4"/>
      <c r="B98" s="4"/>
      <c r="C98" s="4"/>
      <c r="D98" s="4"/>
      <c r="E98" s="4"/>
      <c r="F98" s="4"/>
      <c r="G98" s="4"/>
    </row>
    <row r="99" spans="1:7" ht="18" customHeight="1" x14ac:dyDescent="0.2">
      <c r="A99" s="4"/>
      <c r="B99" s="4"/>
      <c r="C99" s="4"/>
      <c r="D99" s="4"/>
      <c r="E99" s="4"/>
      <c r="F99" s="4"/>
      <c r="G99" s="4"/>
    </row>
    <row r="100" spans="1:7" ht="18" customHeight="1" x14ac:dyDescent="0.2">
      <c r="A100" s="4"/>
      <c r="B100" s="4"/>
      <c r="C100" s="4"/>
      <c r="D100" s="4"/>
      <c r="E100" s="4"/>
      <c r="F100" s="4"/>
      <c r="G100" s="4"/>
    </row>
    <row r="101" spans="1:7" ht="18" customHeight="1" x14ac:dyDescent="0.2">
      <c r="A101" s="4"/>
      <c r="B101" s="4"/>
      <c r="C101" s="4"/>
      <c r="D101" s="4"/>
      <c r="E101" s="4"/>
      <c r="F101" s="4"/>
      <c r="G101" s="4"/>
    </row>
    <row r="102" spans="1:7" ht="18" customHeight="1" x14ac:dyDescent="0.2">
      <c r="A102" s="4"/>
      <c r="B102" s="4"/>
      <c r="C102" s="4"/>
      <c r="D102" s="4"/>
      <c r="E102" s="4"/>
      <c r="F102" s="4"/>
      <c r="G102" s="4"/>
    </row>
    <row r="103" spans="1:7" ht="18" customHeight="1" x14ac:dyDescent="0.2">
      <c r="A103" s="4"/>
      <c r="B103" s="4"/>
      <c r="C103" s="4"/>
      <c r="D103" s="4"/>
      <c r="E103" s="4"/>
      <c r="F103" s="4"/>
      <c r="G103" s="4"/>
    </row>
    <row r="104" spans="1:7" ht="18" customHeight="1" x14ac:dyDescent="0.2">
      <c r="A104" s="4"/>
      <c r="B104" s="4"/>
      <c r="C104" s="4"/>
      <c r="D104" s="4"/>
      <c r="E104" s="4"/>
      <c r="F104" s="4"/>
      <c r="G104" s="4"/>
    </row>
    <row r="105" spans="1:7" ht="18" customHeight="1" x14ac:dyDescent="0.2">
      <c r="A105" s="4"/>
      <c r="B105" s="4"/>
      <c r="C105" s="4"/>
      <c r="D105" s="4"/>
      <c r="E105" s="4"/>
      <c r="F105" s="4"/>
      <c r="G105" s="4"/>
    </row>
    <row r="106" spans="1:7" ht="18" customHeight="1" x14ac:dyDescent="0.2">
      <c r="A106" s="4"/>
      <c r="B106" s="4"/>
      <c r="C106" s="4"/>
      <c r="D106" s="4"/>
      <c r="E106" s="4"/>
      <c r="F106" s="4"/>
      <c r="G106" s="4"/>
    </row>
    <row r="107" spans="1:7" ht="18" customHeight="1" x14ac:dyDescent="0.2">
      <c r="A107" s="4"/>
      <c r="B107" s="4"/>
      <c r="C107" s="4"/>
      <c r="D107" s="4"/>
      <c r="E107" s="4"/>
      <c r="F107" s="4"/>
      <c r="G107" s="4"/>
    </row>
    <row r="108" spans="1:7" ht="18" customHeight="1" x14ac:dyDescent="0.2">
      <c r="A108" s="4"/>
      <c r="B108" s="4"/>
      <c r="C108" s="4"/>
      <c r="D108" s="4"/>
      <c r="E108" s="4"/>
      <c r="F108" s="4"/>
      <c r="G108" s="4"/>
    </row>
    <row r="109" spans="1:7" ht="18" customHeight="1" x14ac:dyDescent="0.2">
      <c r="A109" s="4"/>
      <c r="B109" s="4"/>
      <c r="C109" s="4"/>
      <c r="D109" s="4"/>
      <c r="E109" s="4"/>
      <c r="F109" s="4"/>
      <c r="G109" s="4"/>
    </row>
    <row r="110" spans="1:7" ht="18" customHeight="1" x14ac:dyDescent="0.2">
      <c r="A110" s="4"/>
      <c r="B110" s="4"/>
      <c r="C110" s="4"/>
      <c r="D110" s="4"/>
      <c r="E110" s="4"/>
      <c r="F110" s="4"/>
      <c r="G110" s="4"/>
    </row>
    <row r="111" spans="1:7" ht="18" customHeight="1" x14ac:dyDescent="0.2">
      <c r="A111" s="4"/>
      <c r="B111" s="4"/>
      <c r="C111" s="4"/>
      <c r="D111" s="4"/>
      <c r="E111" s="4"/>
      <c r="F111" s="4"/>
      <c r="G111" s="4"/>
    </row>
    <row r="112" spans="1:7" ht="18" customHeight="1" x14ac:dyDescent="0.2">
      <c r="A112" s="4"/>
      <c r="B112" s="4"/>
      <c r="C112" s="4"/>
      <c r="D112" s="4"/>
      <c r="E112" s="4"/>
      <c r="F112" s="4"/>
      <c r="G112" s="4"/>
    </row>
    <row r="113" spans="1:7" ht="18" customHeight="1" x14ac:dyDescent="0.2">
      <c r="A113" s="4"/>
      <c r="B113" s="4"/>
      <c r="C113" s="4"/>
      <c r="D113" s="4"/>
      <c r="E113" s="4"/>
      <c r="F113" s="4"/>
      <c r="G113" s="4"/>
    </row>
    <row r="114" spans="1:7" ht="18" customHeight="1" x14ac:dyDescent="0.2">
      <c r="A114" s="4"/>
      <c r="B114" s="4"/>
      <c r="C114" s="4"/>
      <c r="D114" s="4"/>
      <c r="E114" s="4"/>
      <c r="F114" s="4"/>
      <c r="G114" s="4"/>
    </row>
    <row r="115" spans="1:7" ht="18" customHeight="1" x14ac:dyDescent="0.2">
      <c r="A115" s="4"/>
      <c r="B115" s="4"/>
      <c r="C115" s="4"/>
      <c r="D115" s="4"/>
      <c r="E115" s="4"/>
      <c r="F115" s="4"/>
      <c r="G115" s="4"/>
    </row>
    <row r="116" spans="1:7" ht="18" customHeight="1" x14ac:dyDescent="0.2">
      <c r="A116" s="4"/>
      <c r="B116" s="4"/>
      <c r="C116" s="4"/>
      <c r="D116" s="4"/>
      <c r="E116" s="4"/>
      <c r="F116" s="4"/>
      <c r="G116" s="4"/>
    </row>
    <row r="117" spans="1:7" ht="18" customHeight="1" x14ac:dyDescent="0.2">
      <c r="A117" s="4"/>
      <c r="B117" s="4"/>
      <c r="C117" s="4"/>
      <c r="D117" s="4"/>
      <c r="E117" s="4"/>
      <c r="F117" s="4"/>
      <c r="G117" s="4"/>
    </row>
    <row r="118" spans="1:7" ht="18" customHeight="1" x14ac:dyDescent="0.2">
      <c r="A118" s="4"/>
      <c r="B118" s="4"/>
      <c r="C118" s="4"/>
      <c r="D118" s="4"/>
      <c r="E118" s="4"/>
      <c r="F118" s="4"/>
      <c r="G118" s="4"/>
    </row>
    <row r="119" spans="1:7" ht="18" customHeight="1" x14ac:dyDescent="0.2">
      <c r="A119" s="4"/>
      <c r="B119" s="4"/>
      <c r="C119" s="4"/>
      <c r="D119" s="4"/>
      <c r="E119" s="4"/>
      <c r="F119" s="4"/>
      <c r="G119" s="4"/>
    </row>
    <row r="120" spans="1:7" ht="18" customHeight="1" x14ac:dyDescent="0.2">
      <c r="A120" s="4"/>
      <c r="B120" s="4"/>
      <c r="C120" s="4"/>
      <c r="D120" s="4"/>
      <c r="E120" s="4"/>
      <c r="F120" s="4"/>
      <c r="G120" s="4"/>
    </row>
    <row r="121" spans="1:7" ht="18" customHeight="1" x14ac:dyDescent="0.2">
      <c r="A121" s="4"/>
      <c r="B121" s="4"/>
      <c r="C121" s="4"/>
      <c r="D121" s="4"/>
      <c r="E121" s="4"/>
      <c r="F121" s="4"/>
      <c r="G121" s="4"/>
    </row>
    <row r="122" spans="1:7" ht="18" customHeight="1" x14ac:dyDescent="0.2">
      <c r="A122" s="4"/>
      <c r="B122" s="4"/>
      <c r="C122" s="4"/>
      <c r="D122" s="4"/>
      <c r="E122" s="4"/>
      <c r="F122" s="4"/>
      <c r="G122" s="4"/>
    </row>
    <row r="123" spans="1:7" ht="18" customHeight="1" x14ac:dyDescent="0.2">
      <c r="A123" s="4"/>
      <c r="B123" s="4"/>
      <c r="C123" s="4"/>
      <c r="D123" s="4"/>
      <c r="E123" s="4"/>
      <c r="F123" s="4"/>
      <c r="G123" s="4"/>
    </row>
    <row r="124" spans="1:7" ht="18" customHeight="1" x14ac:dyDescent="0.2">
      <c r="A124" s="4"/>
      <c r="B124" s="4"/>
      <c r="C124" s="4"/>
      <c r="D124" s="4"/>
      <c r="E124" s="4"/>
      <c r="F124" s="4"/>
      <c r="G124" s="4"/>
    </row>
    <row r="125" spans="1:7" ht="18" customHeight="1" x14ac:dyDescent="0.2">
      <c r="A125" s="4"/>
      <c r="B125" s="4"/>
      <c r="C125" s="4"/>
      <c r="D125" s="4"/>
      <c r="E125" s="4"/>
      <c r="F125" s="4"/>
      <c r="G125" s="4"/>
    </row>
    <row r="126" spans="1:7" ht="18" customHeight="1" x14ac:dyDescent="0.2">
      <c r="A126" s="4"/>
      <c r="B126" s="4"/>
      <c r="C126" s="4"/>
      <c r="D126" s="4"/>
      <c r="E126" s="4"/>
      <c r="F126" s="4"/>
      <c r="G126" s="4"/>
    </row>
    <row r="127" spans="1:7" ht="18" customHeight="1" x14ac:dyDescent="0.2">
      <c r="A127" s="4"/>
      <c r="B127" s="4"/>
      <c r="C127" s="4"/>
      <c r="D127" s="4"/>
      <c r="E127" s="4"/>
      <c r="F127" s="4"/>
      <c r="G127" s="4"/>
    </row>
    <row r="128" spans="1:7" ht="18" customHeight="1" x14ac:dyDescent="0.2">
      <c r="A128" s="4"/>
      <c r="B128" s="4"/>
      <c r="C128" s="4"/>
      <c r="D128" s="4"/>
      <c r="E128" s="4"/>
      <c r="F128" s="4"/>
      <c r="G128" s="4"/>
    </row>
    <row r="129" spans="1:7" ht="18" customHeight="1" x14ac:dyDescent="0.2">
      <c r="A129" s="4"/>
      <c r="B129" s="4"/>
      <c r="C129" s="4"/>
      <c r="D129" s="4"/>
      <c r="E129" s="4"/>
      <c r="F129" s="4"/>
      <c r="G129" s="4"/>
    </row>
    <row r="130" spans="1:7" ht="18" customHeight="1" x14ac:dyDescent="0.2">
      <c r="A130" s="4"/>
      <c r="B130" s="4"/>
      <c r="C130" s="4"/>
      <c r="D130" s="4"/>
      <c r="E130" s="4"/>
      <c r="F130" s="4"/>
      <c r="G130" s="4"/>
    </row>
    <row r="131" spans="1:7" ht="18" customHeight="1" x14ac:dyDescent="0.2">
      <c r="A131" s="4"/>
      <c r="B131" s="4"/>
      <c r="C131" s="4"/>
      <c r="D131" s="4"/>
      <c r="E131" s="4"/>
      <c r="F131" s="4"/>
      <c r="G131" s="4"/>
    </row>
    <row r="132" spans="1:7" ht="18" customHeight="1" x14ac:dyDescent="0.2">
      <c r="A132" s="4"/>
      <c r="B132" s="4"/>
      <c r="C132" s="4"/>
      <c r="D132" s="4"/>
      <c r="E132" s="4"/>
      <c r="F132" s="4"/>
      <c r="G132" s="4"/>
    </row>
    <row r="133" spans="1:7" ht="18" customHeight="1" x14ac:dyDescent="0.2">
      <c r="A133" s="4"/>
      <c r="B133" s="4"/>
      <c r="C133" s="4"/>
      <c r="D133" s="4"/>
      <c r="E133" s="4"/>
      <c r="F133" s="4"/>
      <c r="G133" s="4"/>
    </row>
    <row r="134" spans="1:7" ht="18" customHeight="1" x14ac:dyDescent="0.2">
      <c r="A134" s="4"/>
      <c r="B134" s="4"/>
      <c r="C134" s="4"/>
      <c r="D134" s="4"/>
      <c r="E134" s="4"/>
      <c r="F134" s="4"/>
      <c r="G134" s="4"/>
    </row>
    <row r="135" spans="1:7" ht="18" customHeight="1" x14ac:dyDescent="0.2">
      <c r="A135" s="4"/>
      <c r="B135" s="4"/>
      <c r="C135" s="4"/>
      <c r="D135" s="4"/>
      <c r="E135" s="4"/>
      <c r="F135" s="4"/>
      <c r="G135" s="4"/>
    </row>
    <row r="136" spans="1:7" ht="18" customHeight="1" x14ac:dyDescent="0.2">
      <c r="A136" s="4"/>
      <c r="B136" s="4"/>
      <c r="C136" s="4"/>
      <c r="D136" s="4"/>
      <c r="E136" s="4"/>
      <c r="F136" s="4"/>
      <c r="G136" s="4"/>
    </row>
    <row r="137" spans="1:7" ht="18" customHeight="1" x14ac:dyDescent="0.2">
      <c r="A137" s="4"/>
      <c r="B137" s="4"/>
      <c r="C137" s="4"/>
      <c r="D137" s="4"/>
      <c r="E137" s="4"/>
      <c r="F137" s="4"/>
      <c r="G137" s="4"/>
    </row>
    <row r="138" spans="1:7" ht="18" customHeight="1" x14ac:dyDescent="0.2">
      <c r="A138" s="4"/>
      <c r="B138" s="4"/>
      <c r="C138" s="4"/>
      <c r="D138" s="4"/>
      <c r="E138" s="4"/>
      <c r="F138" s="4"/>
      <c r="G138" s="4"/>
    </row>
    <row r="139" spans="1:7" ht="18" customHeight="1" x14ac:dyDescent="0.2">
      <c r="A139" s="4"/>
      <c r="B139" s="4"/>
      <c r="C139" s="4"/>
      <c r="D139" s="4"/>
      <c r="E139" s="4"/>
      <c r="F139" s="4"/>
      <c r="G139" s="4"/>
    </row>
    <row r="140" spans="1:7" ht="18" customHeight="1" x14ac:dyDescent="0.2">
      <c r="A140" s="4"/>
      <c r="B140" s="4"/>
      <c r="C140" s="4"/>
      <c r="D140" s="4"/>
      <c r="E140" s="4"/>
      <c r="F140" s="4"/>
      <c r="G140" s="4"/>
    </row>
    <row r="141" spans="1:7" ht="18" customHeight="1" x14ac:dyDescent="0.2">
      <c r="A141" s="4"/>
      <c r="B141" s="4"/>
      <c r="C141" s="4"/>
      <c r="D141" s="4"/>
      <c r="E141" s="4"/>
      <c r="F141" s="4"/>
      <c r="G141" s="4"/>
    </row>
    <row r="142" spans="1:7" ht="18" customHeight="1" x14ac:dyDescent="0.2">
      <c r="A142" s="4"/>
      <c r="B142" s="4"/>
      <c r="C142" s="4"/>
      <c r="D142" s="4"/>
      <c r="E142" s="4"/>
      <c r="F142" s="4"/>
      <c r="G142" s="4"/>
    </row>
    <row r="143" spans="1:7" ht="18" customHeight="1" x14ac:dyDescent="0.2">
      <c r="A143" s="4"/>
      <c r="B143" s="4"/>
      <c r="C143" s="4"/>
      <c r="D143" s="4"/>
      <c r="E143" s="4"/>
      <c r="F143" s="4"/>
      <c r="G143" s="4"/>
    </row>
    <row r="144" spans="1:7" ht="18" customHeight="1" x14ac:dyDescent="0.2">
      <c r="A144" s="4"/>
      <c r="B144" s="4"/>
      <c r="C144" s="4"/>
      <c r="D144" s="4"/>
      <c r="E144" s="4"/>
      <c r="F144" s="4"/>
      <c r="G144" s="4"/>
    </row>
    <row r="145" spans="1:7" ht="18" customHeight="1" x14ac:dyDescent="0.2">
      <c r="A145" s="4"/>
      <c r="B145" s="4"/>
      <c r="C145" s="4"/>
      <c r="D145" s="4"/>
      <c r="E145" s="4"/>
      <c r="F145" s="4"/>
      <c r="G145" s="4"/>
    </row>
    <row r="146" spans="1:7" ht="18" customHeight="1" x14ac:dyDescent="0.2">
      <c r="A146" s="4"/>
      <c r="B146" s="4"/>
      <c r="C146" s="4"/>
      <c r="D146" s="4"/>
      <c r="E146" s="4"/>
      <c r="F146" s="4"/>
      <c r="G146" s="4"/>
    </row>
    <row r="147" spans="1:7" ht="18" customHeight="1" x14ac:dyDescent="0.2">
      <c r="A147" s="4"/>
      <c r="B147" s="4"/>
      <c r="C147" s="4"/>
      <c r="D147" s="4"/>
      <c r="E147" s="4"/>
      <c r="F147" s="4"/>
      <c r="G147" s="4"/>
    </row>
    <row r="148" spans="1:7" ht="18" customHeight="1" x14ac:dyDescent="0.2">
      <c r="A148" s="4"/>
      <c r="B148" s="4"/>
      <c r="C148" s="4"/>
      <c r="D148" s="4"/>
      <c r="E148" s="4"/>
      <c r="F148" s="4"/>
      <c r="G148" s="4"/>
    </row>
    <row r="149" spans="1:7" ht="18" customHeight="1" x14ac:dyDescent="0.2">
      <c r="A149" s="4"/>
      <c r="B149" s="4"/>
      <c r="C149" s="4"/>
      <c r="D149" s="4"/>
      <c r="E149" s="4"/>
      <c r="F149" s="4"/>
      <c r="G149" s="4"/>
    </row>
    <row r="150" spans="1:7" ht="18" customHeight="1" x14ac:dyDescent="0.2">
      <c r="A150" s="4"/>
      <c r="B150" s="4"/>
      <c r="C150" s="4"/>
      <c r="D150" s="4"/>
      <c r="E150" s="4"/>
      <c r="F150" s="4"/>
      <c r="G150" s="4"/>
    </row>
    <row r="151" spans="1:7" ht="18" customHeight="1" x14ac:dyDescent="0.2">
      <c r="A151" s="4"/>
      <c r="B151" s="4"/>
      <c r="C151" s="4"/>
      <c r="D151" s="4"/>
      <c r="E151" s="4"/>
      <c r="F151" s="4"/>
      <c r="G151" s="4"/>
    </row>
    <row r="152" spans="1:7" ht="18" customHeight="1" x14ac:dyDescent="0.2">
      <c r="A152" s="4"/>
      <c r="B152" s="4"/>
      <c r="C152" s="4"/>
      <c r="D152" s="4"/>
      <c r="E152" s="4"/>
      <c r="F152" s="4"/>
      <c r="G152" s="4"/>
    </row>
    <row r="153" spans="1:7" ht="18" customHeight="1" x14ac:dyDescent="0.2">
      <c r="A153" s="4"/>
      <c r="B153" s="4"/>
      <c r="C153" s="4"/>
      <c r="D153" s="4"/>
      <c r="E153" s="4"/>
      <c r="F153" s="4"/>
      <c r="G153" s="4"/>
    </row>
    <row r="154" spans="1:7" ht="18" customHeight="1" x14ac:dyDescent="0.2">
      <c r="A154" s="4"/>
      <c r="B154" s="4"/>
      <c r="C154" s="4"/>
      <c r="D154" s="4"/>
      <c r="E154" s="4"/>
      <c r="F154" s="4"/>
      <c r="G154" s="4"/>
    </row>
    <row r="155" spans="1:7" ht="18" customHeight="1" x14ac:dyDescent="0.2">
      <c r="A155" s="4"/>
      <c r="B155" s="4"/>
      <c r="C155" s="4"/>
      <c r="D155" s="4"/>
      <c r="E155" s="4"/>
      <c r="F155" s="4"/>
      <c r="G155" s="4"/>
    </row>
    <row r="156" spans="1:7" ht="18" customHeight="1" x14ac:dyDescent="0.2">
      <c r="A156" s="4"/>
      <c r="B156" s="4"/>
      <c r="C156" s="4"/>
      <c r="D156" s="4"/>
      <c r="E156" s="4"/>
      <c r="F156" s="4"/>
      <c r="G156" s="4"/>
    </row>
    <row r="157" spans="1:7" ht="18" customHeight="1" x14ac:dyDescent="0.2">
      <c r="A157" s="4"/>
      <c r="B157" s="4"/>
      <c r="C157" s="4"/>
      <c r="D157" s="4"/>
      <c r="E157" s="4"/>
      <c r="F157" s="4"/>
      <c r="G157" s="4"/>
    </row>
    <row r="158" spans="1:7" ht="18" customHeight="1" x14ac:dyDescent="0.2">
      <c r="A158" s="4"/>
      <c r="B158" s="4"/>
      <c r="C158" s="4"/>
      <c r="D158" s="4"/>
      <c r="E158" s="4"/>
      <c r="F158" s="4"/>
      <c r="G158" s="4"/>
    </row>
    <row r="159" spans="1:7" ht="18" customHeight="1" x14ac:dyDescent="0.2">
      <c r="A159" s="4"/>
      <c r="B159" s="4"/>
      <c r="C159" s="4"/>
      <c r="D159" s="4"/>
      <c r="E159" s="4"/>
      <c r="F159" s="4"/>
      <c r="G159" s="4"/>
    </row>
    <row r="160" spans="1:7" ht="18" customHeight="1" x14ac:dyDescent="0.2">
      <c r="A160" s="4"/>
      <c r="B160" s="4"/>
      <c r="C160" s="4"/>
      <c r="D160" s="4"/>
      <c r="E160" s="4"/>
      <c r="F160" s="4"/>
      <c r="G160" s="4"/>
    </row>
    <row r="161" spans="1:7" ht="18" customHeight="1" x14ac:dyDescent="0.2">
      <c r="A161" s="4"/>
      <c r="B161" s="4"/>
      <c r="C161" s="4"/>
      <c r="D161" s="4"/>
      <c r="E161" s="4"/>
      <c r="F161" s="4"/>
      <c r="G161" s="4"/>
    </row>
    <row r="162" spans="1:7" ht="18" customHeight="1" x14ac:dyDescent="0.2">
      <c r="A162" s="4"/>
      <c r="B162" s="4"/>
      <c r="C162" s="4"/>
      <c r="D162" s="4"/>
      <c r="E162" s="4"/>
      <c r="F162" s="4"/>
      <c r="G162" s="4"/>
    </row>
    <row r="163" spans="1:7" ht="18" customHeight="1" x14ac:dyDescent="0.2">
      <c r="A163" s="4"/>
      <c r="B163" s="4"/>
      <c r="C163" s="4"/>
      <c r="D163" s="4"/>
      <c r="E163" s="4"/>
      <c r="F163" s="4"/>
      <c r="G163" s="4"/>
    </row>
    <row r="164" spans="1:7" ht="18" customHeight="1" x14ac:dyDescent="0.2">
      <c r="A164" s="4"/>
      <c r="B164" s="4"/>
      <c r="C164" s="4"/>
      <c r="D164" s="4"/>
      <c r="E164" s="4"/>
      <c r="F164" s="4"/>
      <c r="G164" s="4"/>
    </row>
    <row r="165" spans="1:7" ht="18" customHeight="1" x14ac:dyDescent="0.2">
      <c r="A165" s="4"/>
      <c r="B165" s="4"/>
      <c r="C165" s="4"/>
      <c r="D165" s="4"/>
      <c r="E165" s="4"/>
      <c r="F165" s="4"/>
      <c r="G165" s="4"/>
    </row>
    <row r="166" spans="1:7" ht="18" customHeight="1" x14ac:dyDescent="0.2">
      <c r="A166" s="4"/>
      <c r="B166" s="4"/>
      <c r="C166" s="4"/>
      <c r="D166" s="4"/>
      <c r="E166" s="4"/>
      <c r="F166" s="4"/>
      <c r="G166" s="4"/>
    </row>
    <row r="167" spans="1:7" ht="18" customHeight="1" x14ac:dyDescent="0.2">
      <c r="A167" s="4"/>
      <c r="B167" s="4"/>
      <c r="C167" s="4"/>
      <c r="D167" s="4"/>
      <c r="E167" s="4"/>
      <c r="F167" s="4"/>
      <c r="G167" s="4"/>
    </row>
    <row r="168" spans="1:7" ht="18" customHeight="1" x14ac:dyDescent="0.2">
      <c r="A168" s="4"/>
      <c r="B168" s="4"/>
      <c r="C168" s="4"/>
      <c r="D168" s="4"/>
      <c r="E168" s="4"/>
      <c r="F168" s="4"/>
      <c r="G168" s="4"/>
    </row>
    <row r="169" spans="1:7" ht="18" customHeight="1" x14ac:dyDescent="0.2">
      <c r="A169" s="4"/>
      <c r="B169" s="4"/>
      <c r="C169" s="4"/>
      <c r="D169" s="4"/>
      <c r="E169" s="4"/>
      <c r="F169" s="4"/>
      <c r="G169" s="4"/>
    </row>
    <row r="170" spans="1:7" ht="18" customHeight="1" x14ac:dyDescent="0.2">
      <c r="A170" s="4"/>
      <c r="B170" s="4"/>
      <c r="C170" s="4"/>
      <c r="D170" s="4"/>
      <c r="E170" s="4"/>
      <c r="F170" s="4"/>
      <c r="G170" s="4"/>
    </row>
    <row r="171" spans="1:7" ht="18" customHeight="1" x14ac:dyDescent="0.2">
      <c r="A171" s="4"/>
      <c r="B171" s="4"/>
      <c r="C171" s="4"/>
      <c r="D171" s="4"/>
      <c r="E171" s="4"/>
      <c r="F171" s="4"/>
      <c r="G171" s="4"/>
    </row>
    <row r="172" spans="1:7" ht="18" customHeight="1" x14ac:dyDescent="0.2">
      <c r="A172" s="4"/>
      <c r="B172" s="4"/>
      <c r="C172" s="4"/>
      <c r="D172" s="4"/>
      <c r="E172" s="4"/>
      <c r="F172" s="4"/>
      <c r="G172" s="4"/>
    </row>
    <row r="173" spans="1:7" ht="18" customHeight="1" x14ac:dyDescent="0.2">
      <c r="A173" s="4"/>
      <c r="B173" s="4"/>
      <c r="C173" s="4"/>
      <c r="D173" s="4"/>
      <c r="E173" s="4"/>
      <c r="F173" s="4"/>
      <c r="G173" s="4"/>
    </row>
    <row r="174" spans="1:7" ht="18" customHeight="1" x14ac:dyDescent="0.2">
      <c r="A174" s="4"/>
      <c r="B174" s="4"/>
      <c r="C174" s="4"/>
      <c r="D174" s="4"/>
      <c r="E174" s="4"/>
      <c r="F174" s="4"/>
      <c r="G174" s="4"/>
    </row>
    <row r="175" spans="1:7" ht="18" customHeight="1" x14ac:dyDescent="0.2">
      <c r="A175" s="4"/>
      <c r="B175" s="4"/>
      <c r="C175" s="4"/>
      <c r="D175" s="4"/>
      <c r="E175" s="4"/>
      <c r="F175" s="4"/>
      <c r="G175" s="4"/>
    </row>
    <row r="176" spans="1:7" ht="18" customHeight="1" x14ac:dyDescent="0.2">
      <c r="A176" s="4"/>
      <c r="B176" s="4"/>
      <c r="C176" s="4"/>
      <c r="D176" s="4"/>
      <c r="E176" s="4"/>
      <c r="F176" s="4"/>
      <c r="G176" s="4"/>
    </row>
    <row r="177" spans="1:7" ht="18" customHeight="1" x14ac:dyDescent="0.2">
      <c r="A177" s="4"/>
      <c r="B177" s="4"/>
      <c r="C177" s="4"/>
      <c r="D177" s="4"/>
      <c r="E177" s="4"/>
      <c r="F177" s="4"/>
      <c r="G177" s="4"/>
    </row>
    <row r="178" spans="1:7" ht="18" customHeight="1" x14ac:dyDescent="0.2">
      <c r="A178" s="4"/>
      <c r="B178" s="4"/>
      <c r="C178" s="4"/>
      <c r="D178" s="4"/>
      <c r="E178" s="4"/>
      <c r="F178" s="4"/>
      <c r="G178" s="4"/>
    </row>
    <row r="179" spans="1:7" ht="18" customHeight="1" x14ac:dyDescent="0.2">
      <c r="A179" s="4"/>
      <c r="B179" s="4"/>
      <c r="C179" s="4"/>
      <c r="D179" s="4"/>
      <c r="E179" s="4"/>
      <c r="F179" s="4"/>
      <c r="G179" s="4"/>
    </row>
    <row r="180" spans="1:7" ht="18" customHeight="1" x14ac:dyDescent="0.2">
      <c r="A180" s="4"/>
      <c r="B180" s="4"/>
      <c r="C180" s="4"/>
      <c r="D180" s="4"/>
      <c r="E180" s="4"/>
      <c r="F180" s="4"/>
      <c r="G180" s="4"/>
    </row>
    <row r="181" spans="1:7" ht="18" customHeight="1" x14ac:dyDescent="0.2">
      <c r="A181" s="4"/>
      <c r="B181" s="4"/>
      <c r="C181" s="4"/>
      <c r="D181" s="4"/>
      <c r="E181" s="4"/>
      <c r="F181" s="4"/>
      <c r="G181" s="4"/>
    </row>
    <row r="182" spans="1:7" ht="18" customHeight="1" x14ac:dyDescent="0.2">
      <c r="A182" s="4"/>
      <c r="B182" s="4"/>
      <c r="C182" s="4"/>
      <c r="D182" s="4"/>
      <c r="E182" s="4"/>
      <c r="F182" s="4"/>
      <c r="G182" s="4"/>
    </row>
    <row r="183" spans="1:7" ht="18" customHeight="1" x14ac:dyDescent="0.2">
      <c r="A183" s="4"/>
      <c r="B183" s="4"/>
      <c r="C183" s="4"/>
      <c r="D183" s="4"/>
      <c r="E183" s="4"/>
      <c r="F183" s="4"/>
      <c r="G183" s="4"/>
    </row>
    <row r="184" spans="1:7" ht="18" customHeight="1" x14ac:dyDescent="0.2">
      <c r="A184" s="4"/>
      <c r="B184" s="4"/>
      <c r="C184" s="4"/>
      <c r="D184" s="4"/>
      <c r="E184" s="4"/>
      <c r="F184" s="4"/>
      <c r="G184" s="4"/>
    </row>
    <row r="185" spans="1:7" ht="18" customHeight="1" x14ac:dyDescent="0.2">
      <c r="A185" s="4"/>
      <c r="B185" s="4"/>
      <c r="C185" s="4"/>
      <c r="D185" s="4"/>
      <c r="E185" s="4"/>
      <c r="F185" s="4"/>
      <c r="G185" s="4"/>
    </row>
    <row r="186" spans="1:7" ht="18" customHeight="1" x14ac:dyDescent="0.2">
      <c r="A186" s="4"/>
      <c r="B186" s="4"/>
      <c r="C186" s="4"/>
      <c r="D186" s="4"/>
      <c r="E186" s="4"/>
      <c r="F186" s="4"/>
      <c r="G186" s="4"/>
    </row>
    <row r="187" spans="1:7" ht="18" customHeight="1" x14ac:dyDescent="0.2">
      <c r="A187" s="4"/>
      <c r="B187" s="4"/>
      <c r="C187" s="4"/>
      <c r="D187" s="4"/>
      <c r="E187" s="4"/>
      <c r="F187" s="4"/>
      <c r="G187" s="4"/>
    </row>
    <row r="188" spans="1:7" ht="18" customHeight="1" x14ac:dyDescent="0.2">
      <c r="A188" s="4"/>
      <c r="B188" s="4"/>
      <c r="C188" s="4"/>
      <c r="D188" s="4"/>
      <c r="E188" s="4"/>
      <c r="F188" s="4"/>
      <c r="G188" s="4"/>
    </row>
    <row r="189" spans="1:7" ht="18" customHeight="1" x14ac:dyDescent="0.2">
      <c r="A189" s="4"/>
      <c r="B189" s="4"/>
      <c r="C189" s="4"/>
      <c r="D189" s="4"/>
      <c r="E189" s="4"/>
      <c r="F189" s="4"/>
      <c r="G189" s="4"/>
    </row>
    <row r="190" spans="1:7" ht="18" customHeight="1" x14ac:dyDescent="0.2">
      <c r="A190" s="4"/>
      <c r="B190" s="4"/>
      <c r="C190" s="4"/>
      <c r="D190" s="4"/>
      <c r="E190" s="4"/>
      <c r="F190" s="4"/>
      <c r="G190" s="4"/>
    </row>
    <row r="191" spans="1:7" ht="18" customHeight="1" x14ac:dyDescent="0.2">
      <c r="A191" s="4"/>
      <c r="B191" s="4"/>
      <c r="C191" s="4"/>
      <c r="D191" s="4"/>
      <c r="E191" s="4"/>
      <c r="F191" s="4"/>
      <c r="G191" s="4"/>
    </row>
    <row r="192" spans="1:7" ht="18" customHeight="1" x14ac:dyDescent="0.2">
      <c r="A192" s="4"/>
      <c r="B192" s="4"/>
      <c r="C192" s="4"/>
      <c r="D192" s="4"/>
      <c r="E192" s="4"/>
      <c r="F192" s="4"/>
      <c r="G192" s="4"/>
    </row>
    <row r="193" spans="1:7" ht="18" customHeight="1" x14ac:dyDescent="0.2">
      <c r="A193" s="4"/>
      <c r="B193" s="4"/>
      <c r="C193" s="4"/>
      <c r="D193" s="4"/>
      <c r="E193" s="4"/>
      <c r="F193" s="4"/>
      <c r="G193" s="4"/>
    </row>
    <row r="194" spans="1:7" ht="18" customHeight="1" x14ac:dyDescent="0.2">
      <c r="A194" s="4"/>
      <c r="B194" s="4"/>
      <c r="C194" s="4"/>
      <c r="D194" s="4"/>
      <c r="E194" s="4"/>
      <c r="F194" s="4"/>
      <c r="G194" s="4"/>
    </row>
    <row r="195" spans="1:7" ht="18" customHeight="1" x14ac:dyDescent="0.2">
      <c r="A195" s="4"/>
      <c r="B195" s="4"/>
      <c r="C195" s="4"/>
      <c r="D195" s="4"/>
      <c r="E195" s="4"/>
      <c r="F195" s="4"/>
      <c r="G195" s="4"/>
    </row>
    <row r="196" spans="1:7" ht="18" customHeight="1" x14ac:dyDescent="0.2">
      <c r="A196" s="4"/>
      <c r="B196" s="4"/>
      <c r="C196" s="4"/>
      <c r="D196" s="4"/>
      <c r="E196" s="4"/>
      <c r="F196" s="4"/>
      <c r="G196" s="4"/>
    </row>
    <row r="197" spans="1:7" ht="18" customHeight="1" x14ac:dyDescent="0.2">
      <c r="A197" s="4"/>
      <c r="B197" s="4"/>
      <c r="C197" s="4"/>
      <c r="D197" s="4"/>
      <c r="E197" s="4"/>
      <c r="F197" s="4"/>
      <c r="G197" s="4"/>
    </row>
    <row r="198" spans="1:7" ht="18" customHeight="1" x14ac:dyDescent="0.2">
      <c r="A198" s="4"/>
      <c r="B198" s="4"/>
      <c r="C198" s="4"/>
      <c r="D198" s="4"/>
      <c r="E198" s="4"/>
      <c r="F198" s="4"/>
      <c r="G198" s="4"/>
    </row>
    <row r="199" spans="1:7" ht="18" customHeight="1" x14ac:dyDescent="0.2">
      <c r="A199" s="4"/>
      <c r="B199" s="4"/>
      <c r="C199" s="4"/>
      <c r="D199" s="4"/>
      <c r="E199" s="4"/>
      <c r="F199" s="4"/>
      <c r="G199" s="4"/>
    </row>
    <row r="200" spans="1:7" ht="18" customHeight="1" x14ac:dyDescent="0.2">
      <c r="A200" s="4"/>
      <c r="B200" s="4"/>
      <c r="C200" s="4"/>
      <c r="D200" s="4"/>
      <c r="E200" s="4"/>
      <c r="F200" s="4"/>
      <c r="G200" s="4"/>
    </row>
  </sheetData>
  <mergeCells count="2">
    <mergeCell ref="A2:G2"/>
    <mergeCell ref="A1:G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00"/>
  <sheetViews>
    <sheetView workbookViewId="0">
      <pane ySplit="3" topLeftCell="A4" activePane="bottomLeft" state="frozen"/>
      <selection pane="bottomLeft"/>
    </sheetView>
  </sheetViews>
  <sheetFormatPr defaultRowHeight="15" x14ac:dyDescent="0.2"/>
  <cols>
    <col min="1" max="1" width="27.98046875" customWidth="1"/>
    <col min="2" max="3" width="18.0234375" customWidth="1"/>
    <col min="4" max="4" width="20.04296875" customWidth="1"/>
  </cols>
  <sheetData>
    <row r="1" spans="1:4" ht="27.95" customHeight="1" x14ac:dyDescent="0.2">
      <c r="A1" s="11" t="s">
        <v>50</v>
      </c>
      <c r="B1" s="8"/>
      <c r="C1" s="8"/>
      <c r="D1" s="8"/>
    </row>
    <row r="2" spans="1:4" ht="33.950000000000003" customHeight="1" x14ac:dyDescent="0.2">
      <c r="A2" s="12" t="s">
        <v>51</v>
      </c>
      <c r="B2" s="8"/>
      <c r="C2" s="8"/>
      <c r="D2" s="8"/>
    </row>
    <row r="3" spans="1:4" ht="21.95" customHeight="1" x14ac:dyDescent="0.2">
      <c r="A3" s="1" t="s">
        <v>52</v>
      </c>
      <c r="B3" s="1" t="s">
        <v>53</v>
      </c>
      <c r="C3" s="1" t="s">
        <v>54</v>
      </c>
      <c r="D3" s="1" t="s">
        <v>55</v>
      </c>
    </row>
    <row r="4" spans="1:4" ht="18" customHeight="1" x14ac:dyDescent="0.2">
      <c r="A4" s="4" t="s">
        <v>14</v>
      </c>
      <c r="B4" s="6">
        <f>SUMIF(PROJEKTE_GEWERKE!A:A,A4,PROJEKTE_GEWERKE!D:D)</f>
        <v>702000</v>
      </c>
      <c r="C4" s="6">
        <f>SUMIF(PROJEKTE_GEWERKE!A:A,A4,PROJEKTE_GEWERKE!E:E)</f>
        <v>406000</v>
      </c>
      <c r="D4" s="6" t="e">
        <f>IF(B4&gt;0, SUMPRODUCT((PROJEKTE_GEWERKE!A:A=A4)*(PROJEKTE_GEWERKE!F:F)*(PROJEKTE_GEWERKE!D:D))/B4,0)</f>
        <v>#VALUE!</v>
      </c>
    </row>
    <row r="5" spans="1:4" ht="18" customHeight="1" x14ac:dyDescent="0.2">
      <c r="A5" s="4"/>
      <c r="B5" s="4"/>
      <c r="C5" s="4"/>
      <c r="D5" s="4"/>
    </row>
    <row r="6" spans="1:4" ht="18" customHeight="1" x14ac:dyDescent="0.2">
      <c r="A6" s="4"/>
      <c r="B6" s="4"/>
      <c r="C6" s="4"/>
      <c r="D6" s="4"/>
    </row>
    <row r="7" spans="1:4" ht="18" customHeight="1" x14ac:dyDescent="0.2">
      <c r="A7" s="4"/>
      <c r="B7" s="4"/>
      <c r="C7" s="4"/>
      <c r="D7" s="4"/>
    </row>
    <row r="8" spans="1:4" ht="18" customHeight="1" x14ac:dyDescent="0.2">
      <c r="A8" s="4"/>
      <c r="B8" s="4"/>
      <c r="C8" s="4"/>
      <c r="D8" s="4"/>
    </row>
    <row r="9" spans="1:4" ht="18" customHeight="1" x14ac:dyDescent="0.2">
      <c r="A9" s="4"/>
      <c r="B9" s="4"/>
      <c r="C9" s="4"/>
      <c r="D9" s="4"/>
    </row>
    <row r="10" spans="1:4" ht="18" customHeight="1" x14ac:dyDescent="0.2">
      <c r="A10" s="4"/>
      <c r="B10" s="4"/>
      <c r="C10" s="4"/>
      <c r="D10" s="4"/>
    </row>
    <row r="11" spans="1:4" ht="18" customHeight="1" x14ac:dyDescent="0.2">
      <c r="A11" s="4"/>
      <c r="B11" s="4"/>
      <c r="C11" s="4"/>
      <c r="D11" s="4"/>
    </row>
    <row r="12" spans="1:4" ht="18" customHeight="1" x14ac:dyDescent="0.2">
      <c r="A12" s="4"/>
      <c r="B12" s="4"/>
      <c r="C12" s="4"/>
      <c r="D12" s="4"/>
    </row>
    <row r="13" spans="1:4" ht="18" customHeight="1" x14ac:dyDescent="0.2">
      <c r="A13" s="4"/>
      <c r="B13" s="4"/>
      <c r="C13" s="4"/>
      <c r="D13" s="4"/>
    </row>
    <row r="14" spans="1:4" ht="18" customHeight="1" x14ac:dyDescent="0.2">
      <c r="A14" s="4"/>
      <c r="B14" s="4"/>
      <c r="C14" s="4"/>
      <c r="D14" s="4"/>
    </row>
    <row r="15" spans="1:4" ht="18" customHeight="1" x14ac:dyDescent="0.2">
      <c r="A15" s="4"/>
      <c r="B15" s="4"/>
      <c r="C15" s="4"/>
      <c r="D15" s="4"/>
    </row>
    <row r="16" spans="1:4" ht="18" customHeight="1" x14ac:dyDescent="0.2">
      <c r="A16" s="4"/>
      <c r="B16" s="4"/>
      <c r="C16" s="4"/>
      <c r="D16" s="4"/>
    </row>
    <row r="17" spans="1:4" ht="18" customHeight="1" x14ac:dyDescent="0.2">
      <c r="A17" s="4"/>
      <c r="B17" s="4"/>
      <c r="C17" s="4"/>
      <c r="D17" s="4"/>
    </row>
    <row r="18" spans="1:4" ht="18" customHeight="1" x14ac:dyDescent="0.2">
      <c r="A18" s="4"/>
      <c r="B18" s="4"/>
      <c r="C18" s="4"/>
      <c r="D18" s="4"/>
    </row>
    <row r="19" spans="1:4" ht="18" customHeight="1" x14ac:dyDescent="0.2">
      <c r="A19" s="4"/>
      <c r="B19" s="4"/>
      <c r="C19" s="4"/>
      <c r="D19" s="4"/>
    </row>
    <row r="20" spans="1:4" ht="18" customHeight="1" x14ac:dyDescent="0.2">
      <c r="A20" s="4"/>
      <c r="B20" s="4"/>
      <c r="C20" s="4"/>
      <c r="D20" s="4"/>
    </row>
    <row r="21" spans="1:4" ht="18" customHeight="1" x14ac:dyDescent="0.2">
      <c r="A21" s="4"/>
      <c r="B21" s="4"/>
      <c r="C21" s="4"/>
      <c r="D21" s="4"/>
    </row>
    <row r="22" spans="1:4" ht="18" customHeight="1" x14ac:dyDescent="0.2">
      <c r="A22" s="4"/>
      <c r="B22" s="4"/>
      <c r="C22" s="4"/>
      <c r="D22" s="4"/>
    </row>
    <row r="23" spans="1:4" ht="18" customHeight="1" x14ac:dyDescent="0.2">
      <c r="A23" s="4"/>
      <c r="B23" s="4"/>
      <c r="C23" s="4"/>
      <c r="D23" s="4"/>
    </row>
    <row r="24" spans="1:4" ht="18" customHeight="1" x14ac:dyDescent="0.2">
      <c r="A24" s="4"/>
      <c r="B24" s="4"/>
      <c r="C24" s="4"/>
      <c r="D24" s="4"/>
    </row>
    <row r="25" spans="1:4" ht="18" customHeight="1" x14ac:dyDescent="0.2">
      <c r="A25" s="4"/>
      <c r="B25" s="4"/>
      <c r="C25" s="4"/>
      <c r="D25" s="4"/>
    </row>
    <row r="26" spans="1:4" ht="18" customHeight="1" x14ac:dyDescent="0.2">
      <c r="A26" s="4"/>
      <c r="B26" s="4"/>
      <c r="C26" s="4"/>
      <c r="D26" s="4"/>
    </row>
    <row r="27" spans="1:4" ht="18" customHeight="1" x14ac:dyDescent="0.2">
      <c r="A27" s="4"/>
      <c r="B27" s="4"/>
      <c r="C27" s="4"/>
      <c r="D27" s="4"/>
    </row>
    <row r="28" spans="1:4" ht="18" customHeight="1" x14ac:dyDescent="0.2">
      <c r="A28" s="4"/>
      <c r="B28" s="4"/>
      <c r="C28" s="4"/>
      <c r="D28" s="4"/>
    </row>
    <row r="29" spans="1:4" ht="18" customHeight="1" x14ac:dyDescent="0.2">
      <c r="A29" s="4"/>
      <c r="B29" s="4"/>
      <c r="C29" s="4"/>
      <c r="D29" s="4"/>
    </row>
    <row r="30" spans="1:4" ht="18" customHeight="1" x14ac:dyDescent="0.2">
      <c r="A30" s="4"/>
      <c r="B30" s="4"/>
      <c r="C30" s="4"/>
      <c r="D30" s="4"/>
    </row>
    <row r="31" spans="1:4" ht="18" customHeight="1" x14ac:dyDescent="0.2">
      <c r="A31" s="4"/>
      <c r="B31" s="4"/>
      <c r="C31" s="4"/>
      <c r="D31" s="4"/>
    </row>
    <row r="32" spans="1:4" ht="18" customHeight="1" x14ac:dyDescent="0.2">
      <c r="A32" s="4"/>
      <c r="B32" s="4"/>
      <c r="C32" s="4"/>
      <c r="D32" s="4"/>
    </row>
    <row r="33" spans="1:4" ht="18" customHeight="1" x14ac:dyDescent="0.2">
      <c r="A33" s="4"/>
      <c r="B33" s="4"/>
      <c r="C33" s="4"/>
      <c r="D33" s="4"/>
    </row>
    <row r="34" spans="1:4" ht="18" customHeight="1" x14ac:dyDescent="0.2">
      <c r="A34" s="4"/>
      <c r="B34" s="4"/>
      <c r="C34" s="4"/>
      <c r="D34" s="4"/>
    </row>
    <row r="35" spans="1:4" ht="18" customHeight="1" x14ac:dyDescent="0.2">
      <c r="A35" s="4"/>
      <c r="B35" s="4"/>
      <c r="C35" s="4"/>
      <c r="D35" s="4"/>
    </row>
    <row r="36" spans="1:4" ht="18" customHeight="1" x14ac:dyDescent="0.2">
      <c r="A36" s="4"/>
      <c r="B36" s="4"/>
      <c r="C36" s="4"/>
      <c r="D36" s="4"/>
    </row>
    <row r="37" spans="1:4" ht="18" customHeight="1" x14ac:dyDescent="0.2">
      <c r="A37" s="4"/>
      <c r="B37" s="4"/>
      <c r="C37" s="4"/>
      <c r="D37" s="4"/>
    </row>
    <row r="38" spans="1:4" ht="18" customHeight="1" x14ac:dyDescent="0.2">
      <c r="A38" s="4"/>
      <c r="B38" s="4"/>
      <c r="C38" s="4"/>
      <c r="D38" s="4"/>
    </row>
    <row r="39" spans="1:4" ht="18" customHeight="1" x14ac:dyDescent="0.2">
      <c r="A39" s="4"/>
      <c r="B39" s="4"/>
      <c r="C39" s="4"/>
      <c r="D39" s="4"/>
    </row>
    <row r="40" spans="1:4" ht="18" customHeight="1" x14ac:dyDescent="0.2">
      <c r="A40" s="4"/>
      <c r="B40" s="4"/>
      <c r="C40" s="4"/>
      <c r="D40" s="4"/>
    </row>
    <row r="41" spans="1:4" ht="18" customHeight="1" x14ac:dyDescent="0.2">
      <c r="A41" s="4"/>
      <c r="B41" s="4"/>
      <c r="C41" s="4"/>
      <c r="D41" s="4"/>
    </row>
    <row r="42" spans="1:4" ht="18" customHeight="1" x14ac:dyDescent="0.2">
      <c r="A42" s="4"/>
      <c r="B42" s="4"/>
      <c r="C42" s="4"/>
      <c r="D42" s="4"/>
    </row>
    <row r="43" spans="1:4" ht="18" customHeight="1" x14ac:dyDescent="0.2">
      <c r="A43" s="4"/>
      <c r="B43" s="4"/>
      <c r="C43" s="4"/>
      <c r="D43" s="4"/>
    </row>
    <row r="44" spans="1:4" ht="18" customHeight="1" x14ac:dyDescent="0.2">
      <c r="A44" s="4"/>
      <c r="B44" s="4"/>
      <c r="C44" s="4"/>
      <c r="D44" s="4"/>
    </row>
    <row r="45" spans="1:4" ht="18" customHeight="1" x14ac:dyDescent="0.2">
      <c r="A45" s="4"/>
      <c r="B45" s="4"/>
      <c r="C45" s="4"/>
      <c r="D45" s="4"/>
    </row>
    <row r="46" spans="1:4" ht="18" customHeight="1" x14ac:dyDescent="0.2">
      <c r="A46" s="4"/>
      <c r="B46" s="4"/>
      <c r="C46" s="4"/>
      <c r="D46" s="4"/>
    </row>
    <row r="47" spans="1:4" ht="18" customHeight="1" x14ac:dyDescent="0.2">
      <c r="A47" s="4"/>
      <c r="B47" s="4"/>
      <c r="C47" s="4"/>
      <c r="D47" s="4"/>
    </row>
    <row r="48" spans="1:4" ht="18" customHeight="1" x14ac:dyDescent="0.2">
      <c r="A48" s="4"/>
      <c r="B48" s="4"/>
      <c r="C48" s="4"/>
      <c r="D48" s="4"/>
    </row>
    <row r="49" spans="1:4" ht="18" customHeight="1" x14ac:dyDescent="0.2">
      <c r="A49" s="4"/>
      <c r="B49" s="4"/>
      <c r="C49" s="4"/>
      <c r="D49" s="4"/>
    </row>
    <row r="50" spans="1:4" ht="18" customHeight="1" x14ac:dyDescent="0.2">
      <c r="A50" s="4"/>
      <c r="B50" s="4"/>
      <c r="C50" s="4"/>
      <c r="D50" s="4"/>
    </row>
    <row r="51" spans="1:4" ht="18" customHeight="1" x14ac:dyDescent="0.2">
      <c r="A51" s="4"/>
      <c r="B51" s="4"/>
      <c r="C51" s="4"/>
      <c r="D51" s="4"/>
    </row>
    <row r="52" spans="1:4" ht="18" customHeight="1" x14ac:dyDescent="0.2">
      <c r="A52" s="4"/>
      <c r="B52" s="4"/>
      <c r="C52" s="4"/>
      <c r="D52" s="4"/>
    </row>
    <row r="53" spans="1:4" ht="18" customHeight="1" x14ac:dyDescent="0.2">
      <c r="A53" s="4"/>
      <c r="B53" s="4"/>
      <c r="C53" s="4"/>
      <c r="D53" s="4"/>
    </row>
    <row r="54" spans="1:4" ht="18" customHeight="1" x14ac:dyDescent="0.2">
      <c r="A54" s="4"/>
      <c r="B54" s="4"/>
      <c r="C54" s="4"/>
      <c r="D54" s="4"/>
    </row>
    <row r="55" spans="1:4" ht="18" customHeight="1" x14ac:dyDescent="0.2">
      <c r="A55" s="4"/>
      <c r="B55" s="4"/>
      <c r="C55" s="4"/>
      <c r="D55" s="4"/>
    </row>
    <row r="56" spans="1:4" ht="18" customHeight="1" x14ac:dyDescent="0.2">
      <c r="A56" s="4"/>
      <c r="B56" s="4"/>
      <c r="C56" s="4"/>
      <c r="D56" s="4"/>
    </row>
    <row r="57" spans="1:4" ht="18" customHeight="1" x14ac:dyDescent="0.2">
      <c r="A57" s="4"/>
      <c r="B57" s="4"/>
      <c r="C57" s="4"/>
      <c r="D57" s="4"/>
    </row>
    <row r="58" spans="1:4" ht="18" customHeight="1" x14ac:dyDescent="0.2">
      <c r="A58" s="4"/>
      <c r="B58" s="4"/>
      <c r="C58" s="4"/>
      <c r="D58" s="4"/>
    </row>
    <row r="59" spans="1:4" ht="18" customHeight="1" x14ac:dyDescent="0.2">
      <c r="A59" s="4"/>
      <c r="B59" s="4"/>
      <c r="C59" s="4"/>
      <c r="D59" s="4"/>
    </row>
    <row r="60" spans="1:4" ht="18" customHeight="1" x14ac:dyDescent="0.2">
      <c r="A60" s="4"/>
      <c r="B60" s="4"/>
      <c r="C60" s="4"/>
      <c r="D60" s="4"/>
    </row>
    <row r="61" spans="1:4" ht="18" customHeight="1" x14ac:dyDescent="0.2">
      <c r="A61" s="4"/>
      <c r="B61" s="4"/>
      <c r="C61" s="4"/>
      <c r="D61" s="4"/>
    </row>
    <row r="62" spans="1:4" ht="18" customHeight="1" x14ac:dyDescent="0.2">
      <c r="A62" s="4"/>
      <c r="B62" s="4"/>
      <c r="C62" s="4"/>
      <c r="D62" s="4"/>
    </row>
    <row r="63" spans="1:4" ht="18" customHeight="1" x14ac:dyDescent="0.2">
      <c r="A63" s="4"/>
      <c r="B63" s="4"/>
      <c r="C63" s="4"/>
      <c r="D63" s="4"/>
    </row>
    <row r="64" spans="1:4" ht="18" customHeight="1" x14ac:dyDescent="0.2">
      <c r="A64" s="4"/>
      <c r="B64" s="4"/>
      <c r="C64" s="4"/>
      <c r="D64" s="4"/>
    </row>
    <row r="65" spans="1:4" ht="18" customHeight="1" x14ac:dyDescent="0.2">
      <c r="A65" s="4"/>
      <c r="B65" s="4"/>
      <c r="C65" s="4"/>
      <c r="D65" s="4"/>
    </row>
    <row r="66" spans="1:4" ht="18" customHeight="1" x14ac:dyDescent="0.2">
      <c r="A66" s="4"/>
      <c r="B66" s="4"/>
      <c r="C66" s="4"/>
      <c r="D66" s="4"/>
    </row>
    <row r="67" spans="1:4" ht="18" customHeight="1" x14ac:dyDescent="0.2">
      <c r="A67" s="4"/>
      <c r="B67" s="4"/>
      <c r="C67" s="4"/>
      <c r="D67" s="4"/>
    </row>
    <row r="68" spans="1:4" ht="18" customHeight="1" x14ac:dyDescent="0.2">
      <c r="A68" s="4"/>
      <c r="B68" s="4"/>
      <c r="C68" s="4"/>
      <c r="D68" s="4"/>
    </row>
    <row r="69" spans="1:4" ht="18" customHeight="1" x14ac:dyDescent="0.2">
      <c r="A69" s="4"/>
      <c r="B69" s="4"/>
      <c r="C69" s="4"/>
      <c r="D69" s="4"/>
    </row>
    <row r="70" spans="1:4" ht="18" customHeight="1" x14ac:dyDescent="0.2">
      <c r="A70" s="4"/>
      <c r="B70" s="4"/>
      <c r="C70" s="4"/>
      <c r="D70" s="4"/>
    </row>
    <row r="71" spans="1:4" ht="18" customHeight="1" x14ac:dyDescent="0.2">
      <c r="A71" s="4"/>
      <c r="B71" s="4"/>
      <c r="C71" s="4"/>
      <c r="D71" s="4"/>
    </row>
    <row r="72" spans="1:4" ht="18" customHeight="1" x14ac:dyDescent="0.2">
      <c r="A72" s="4"/>
      <c r="B72" s="4"/>
      <c r="C72" s="4"/>
      <c r="D72" s="4"/>
    </row>
    <row r="73" spans="1:4" ht="18" customHeight="1" x14ac:dyDescent="0.2">
      <c r="A73" s="4"/>
      <c r="B73" s="4"/>
      <c r="C73" s="4"/>
      <c r="D73" s="4"/>
    </row>
    <row r="74" spans="1:4" ht="18" customHeight="1" x14ac:dyDescent="0.2">
      <c r="A74" s="4"/>
      <c r="B74" s="4"/>
      <c r="C74" s="4"/>
      <c r="D74" s="4"/>
    </row>
    <row r="75" spans="1:4" ht="18" customHeight="1" x14ac:dyDescent="0.2">
      <c r="A75" s="4"/>
      <c r="B75" s="4"/>
      <c r="C75" s="4"/>
      <c r="D75" s="4"/>
    </row>
    <row r="76" spans="1:4" ht="18" customHeight="1" x14ac:dyDescent="0.2">
      <c r="A76" s="4"/>
      <c r="B76" s="4"/>
      <c r="C76" s="4"/>
      <c r="D76" s="4"/>
    </row>
    <row r="77" spans="1:4" ht="18" customHeight="1" x14ac:dyDescent="0.2">
      <c r="A77" s="4"/>
      <c r="B77" s="4"/>
      <c r="C77" s="4"/>
      <c r="D77" s="4"/>
    </row>
    <row r="78" spans="1:4" ht="18" customHeight="1" x14ac:dyDescent="0.2">
      <c r="A78" s="4"/>
      <c r="B78" s="4"/>
      <c r="C78" s="4"/>
      <c r="D78" s="4"/>
    </row>
    <row r="79" spans="1:4" ht="18" customHeight="1" x14ac:dyDescent="0.2">
      <c r="A79" s="4"/>
      <c r="B79" s="4"/>
      <c r="C79" s="4"/>
      <c r="D79" s="4"/>
    </row>
    <row r="80" spans="1:4" ht="18" customHeight="1" x14ac:dyDescent="0.2">
      <c r="A80" s="4"/>
      <c r="B80" s="4"/>
      <c r="C80" s="4"/>
      <c r="D80" s="4"/>
    </row>
    <row r="81" spans="1:4" ht="18" customHeight="1" x14ac:dyDescent="0.2">
      <c r="A81" s="4"/>
      <c r="B81" s="4"/>
      <c r="C81" s="4"/>
      <c r="D81" s="4"/>
    </row>
    <row r="82" spans="1:4" ht="18" customHeight="1" x14ac:dyDescent="0.2">
      <c r="A82" s="4"/>
      <c r="B82" s="4"/>
      <c r="C82" s="4"/>
      <c r="D82" s="4"/>
    </row>
    <row r="83" spans="1:4" ht="18" customHeight="1" x14ac:dyDescent="0.2">
      <c r="A83" s="4"/>
      <c r="B83" s="4"/>
      <c r="C83" s="4"/>
      <c r="D83" s="4"/>
    </row>
    <row r="84" spans="1:4" ht="18" customHeight="1" x14ac:dyDescent="0.2">
      <c r="A84" s="4"/>
      <c r="B84" s="4"/>
      <c r="C84" s="4"/>
      <c r="D84" s="4"/>
    </row>
    <row r="85" spans="1:4" ht="18" customHeight="1" x14ac:dyDescent="0.2">
      <c r="A85" s="4"/>
      <c r="B85" s="4"/>
      <c r="C85" s="4"/>
      <c r="D85" s="4"/>
    </row>
    <row r="86" spans="1:4" ht="18" customHeight="1" x14ac:dyDescent="0.2">
      <c r="A86" s="4"/>
      <c r="B86" s="4"/>
      <c r="C86" s="4"/>
      <c r="D86" s="4"/>
    </row>
    <row r="87" spans="1:4" ht="18" customHeight="1" x14ac:dyDescent="0.2">
      <c r="A87" s="4"/>
      <c r="B87" s="4"/>
      <c r="C87" s="4"/>
      <c r="D87" s="4"/>
    </row>
    <row r="88" spans="1:4" ht="18" customHeight="1" x14ac:dyDescent="0.2">
      <c r="A88" s="4"/>
      <c r="B88" s="4"/>
      <c r="C88" s="4"/>
      <c r="D88" s="4"/>
    </row>
    <row r="89" spans="1:4" ht="18" customHeight="1" x14ac:dyDescent="0.2">
      <c r="A89" s="4"/>
      <c r="B89" s="4"/>
      <c r="C89" s="4"/>
      <c r="D89" s="4"/>
    </row>
    <row r="90" spans="1:4" ht="18" customHeight="1" x14ac:dyDescent="0.2">
      <c r="A90" s="4"/>
      <c r="B90" s="4"/>
      <c r="C90" s="4"/>
      <c r="D90" s="4"/>
    </row>
    <row r="91" spans="1:4" ht="18" customHeight="1" x14ac:dyDescent="0.2">
      <c r="A91" s="4"/>
      <c r="B91" s="4"/>
      <c r="C91" s="4"/>
      <c r="D91" s="4"/>
    </row>
    <row r="92" spans="1:4" ht="18" customHeight="1" x14ac:dyDescent="0.2">
      <c r="A92" s="4"/>
      <c r="B92" s="4"/>
      <c r="C92" s="4"/>
      <c r="D92" s="4"/>
    </row>
    <row r="93" spans="1:4" ht="18" customHeight="1" x14ac:dyDescent="0.2">
      <c r="A93" s="4"/>
      <c r="B93" s="4"/>
      <c r="C93" s="4"/>
      <c r="D93" s="4"/>
    </row>
    <row r="94" spans="1:4" ht="18" customHeight="1" x14ac:dyDescent="0.2">
      <c r="A94" s="4"/>
      <c r="B94" s="4"/>
      <c r="C94" s="4"/>
      <c r="D94" s="4"/>
    </row>
    <row r="95" spans="1:4" ht="18" customHeight="1" x14ac:dyDescent="0.2">
      <c r="A95" s="4"/>
      <c r="B95" s="4"/>
      <c r="C95" s="4"/>
      <c r="D95" s="4"/>
    </row>
    <row r="96" spans="1:4" ht="18" customHeight="1" x14ac:dyDescent="0.2">
      <c r="A96" s="4"/>
      <c r="B96" s="4"/>
      <c r="C96" s="4"/>
      <c r="D96" s="4"/>
    </row>
    <row r="97" spans="1:4" ht="18" customHeight="1" x14ac:dyDescent="0.2">
      <c r="A97" s="4"/>
      <c r="B97" s="4"/>
      <c r="C97" s="4"/>
      <c r="D97" s="4"/>
    </row>
    <row r="98" spans="1:4" ht="18" customHeight="1" x14ac:dyDescent="0.2">
      <c r="A98" s="4"/>
      <c r="B98" s="4"/>
      <c r="C98" s="4"/>
      <c r="D98" s="4"/>
    </row>
    <row r="99" spans="1:4" ht="18" customHeight="1" x14ac:dyDescent="0.2">
      <c r="A99" s="4"/>
      <c r="B99" s="4"/>
      <c r="C99" s="4"/>
      <c r="D99" s="4"/>
    </row>
    <row r="100" spans="1:4" ht="18" customHeight="1" x14ac:dyDescent="0.2">
      <c r="A100" s="4"/>
      <c r="B100" s="4"/>
      <c r="C100" s="4"/>
      <c r="D100" s="4"/>
    </row>
    <row r="101" spans="1:4" ht="18" customHeight="1" x14ac:dyDescent="0.2">
      <c r="A101" s="4"/>
      <c r="B101" s="4"/>
      <c r="C101" s="4"/>
      <c r="D101" s="4"/>
    </row>
    <row r="102" spans="1:4" ht="18" customHeight="1" x14ac:dyDescent="0.2">
      <c r="A102" s="4"/>
      <c r="B102" s="4"/>
      <c r="C102" s="4"/>
      <c r="D102" s="4"/>
    </row>
    <row r="103" spans="1:4" ht="18" customHeight="1" x14ac:dyDescent="0.2">
      <c r="A103" s="4"/>
      <c r="B103" s="4"/>
      <c r="C103" s="4"/>
      <c r="D103" s="4"/>
    </row>
    <row r="104" spans="1:4" ht="18" customHeight="1" x14ac:dyDescent="0.2">
      <c r="A104" s="4"/>
      <c r="B104" s="4"/>
      <c r="C104" s="4"/>
      <c r="D104" s="4"/>
    </row>
    <row r="105" spans="1:4" ht="18" customHeight="1" x14ac:dyDescent="0.2">
      <c r="A105" s="4"/>
      <c r="B105" s="4"/>
      <c r="C105" s="4"/>
      <c r="D105" s="4"/>
    </row>
    <row r="106" spans="1:4" ht="18" customHeight="1" x14ac:dyDescent="0.2">
      <c r="A106" s="4"/>
      <c r="B106" s="4"/>
      <c r="C106" s="4"/>
      <c r="D106" s="4"/>
    </row>
    <row r="107" spans="1:4" ht="18" customHeight="1" x14ac:dyDescent="0.2">
      <c r="A107" s="4"/>
      <c r="B107" s="4"/>
      <c r="C107" s="4"/>
      <c r="D107" s="4"/>
    </row>
    <row r="108" spans="1:4" ht="18" customHeight="1" x14ac:dyDescent="0.2">
      <c r="A108" s="4"/>
      <c r="B108" s="4"/>
      <c r="C108" s="4"/>
      <c r="D108" s="4"/>
    </row>
    <row r="109" spans="1:4" ht="18" customHeight="1" x14ac:dyDescent="0.2">
      <c r="A109" s="4"/>
      <c r="B109" s="4"/>
      <c r="C109" s="4"/>
      <c r="D109" s="4"/>
    </row>
    <row r="110" spans="1:4" ht="18" customHeight="1" x14ac:dyDescent="0.2">
      <c r="A110" s="4"/>
      <c r="B110" s="4"/>
      <c r="C110" s="4"/>
      <c r="D110" s="4"/>
    </row>
    <row r="111" spans="1:4" ht="18" customHeight="1" x14ac:dyDescent="0.2">
      <c r="A111" s="4"/>
      <c r="B111" s="4"/>
      <c r="C111" s="4"/>
      <c r="D111" s="4"/>
    </row>
    <row r="112" spans="1:4" ht="18" customHeight="1" x14ac:dyDescent="0.2">
      <c r="A112" s="4"/>
      <c r="B112" s="4"/>
      <c r="C112" s="4"/>
      <c r="D112" s="4"/>
    </row>
    <row r="113" spans="1:4" ht="18" customHeight="1" x14ac:dyDescent="0.2">
      <c r="A113" s="4"/>
      <c r="B113" s="4"/>
      <c r="C113" s="4"/>
      <c r="D113" s="4"/>
    </row>
    <row r="114" spans="1:4" ht="18" customHeight="1" x14ac:dyDescent="0.2">
      <c r="A114" s="4"/>
      <c r="B114" s="4"/>
      <c r="C114" s="4"/>
      <c r="D114" s="4"/>
    </row>
    <row r="115" spans="1:4" ht="18" customHeight="1" x14ac:dyDescent="0.2">
      <c r="A115" s="4"/>
      <c r="B115" s="4"/>
      <c r="C115" s="4"/>
      <c r="D115" s="4"/>
    </row>
    <row r="116" spans="1:4" ht="18" customHeight="1" x14ac:dyDescent="0.2">
      <c r="A116" s="4"/>
      <c r="B116" s="4"/>
      <c r="C116" s="4"/>
      <c r="D116" s="4"/>
    </row>
    <row r="117" spans="1:4" ht="18" customHeight="1" x14ac:dyDescent="0.2">
      <c r="A117" s="4"/>
      <c r="B117" s="4"/>
      <c r="C117" s="4"/>
      <c r="D117" s="4"/>
    </row>
    <row r="118" spans="1:4" ht="18" customHeight="1" x14ac:dyDescent="0.2">
      <c r="A118" s="4"/>
      <c r="B118" s="4"/>
      <c r="C118" s="4"/>
      <c r="D118" s="4"/>
    </row>
    <row r="119" spans="1:4" ht="18" customHeight="1" x14ac:dyDescent="0.2">
      <c r="A119" s="4"/>
      <c r="B119" s="4"/>
      <c r="C119" s="4"/>
      <c r="D119" s="4"/>
    </row>
    <row r="120" spans="1:4" ht="18" customHeight="1" x14ac:dyDescent="0.2">
      <c r="A120" s="4"/>
      <c r="B120" s="4"/>
      <c r="C120" s="4"/>
      <c r="D120" s="4"/>
    </row>
    <row r="121" spans="1:4" ht="18" customHeight="1" x14ac:dyDescent="0.2">
      <c r="A121" s="4"/>
      <c r="B121" s="4"/>
      <c r="C121" s="4"/>
      <c r="D121" s="4"/>
    </row>
    <row r="122" spans="1:4" ht="18" customHeight="1" x14ac:dyDescent="0.2">
      <c r="A122" s="4"/>
      <c r="B122" s="4"/>
      <c r="C122" s="4"/>
      <c r="D122" s="4"/>
    </row>
    <row r="123" spans="1:4" ht="18" customHeight="1" x14ac:dyDescent="0.2">
      <c r="A123" s="4"/>
      <c r="B123" s="4"/>
      <c r="C123" s="4"/>
      <c r="D123" s="4"/>
    </row>
    <row r="124" spans="1:4" ht="18" customHeight="1" x14ac:dyDescent="0.2">
      <c r="A124" s="4"/>
      <c r="B124" s="4"/>
      <c r="C124" s="4"/>
      <c r="D124" s="4"/>
    </row>
    <row r="125" spans="1:4" ht="18" customHeight="1" x14ac:dyDescent="0.2">
      <c r="A125" s="4"/>
      <c r="B125" s="4"/>
      <c r="C125" s="4"/>
      <c r="D125" s="4"/>
    </row>
    <row r="126" spans="1:4" ht="18" customHeight="1" x14ac:dyDescent="0.2">
      <c r="A126" s="4"/>
      <c r="B126" s="4"/>
      <c r="C126" s="4"/>
      <c r="D126" s="4"/>
    </row>
    <row r="127" spans="1:4" ht="18" customHeight="1" x14ac:dyDescent="0.2">
      <c r="A127" s="4"/>
      <c r="B127" s="4"/>
      <c r="C127" s="4"/>
      <c r="D127" s="4"/>
    </row>
    <row r="128" spans="1:4" ht="18" customHeight="1" x14ac:dyDescent="0.2">
      <c r="A128" s="4"/>
      <c r="B128" s="4"/>
      <c r="C128" s="4"/>
      <c r="D128" s="4"/>
    </row>
    <row r="129" spans="1:4" ht="18" customHeight="1" x14ac:dyDescent="0.2">
      <c r="A129" s="4"/>
      <c r="B129" s="4"/>
      <c r="C129" s="4"/>
      <c r="D129" s="4"/>
    </row>
    <row r="130" spans="1:4" ht="18" customHeight="1" x14ac:dyDescent="0.2">
      <c r="A130" s="4"/>
      <c r="B130" s="4"/>
      <c r="C130" s="4"/>
      <c r="D130" s="4"/>
    </row>
    <row r="131" spans="1:4" ht="18" customHeight="1" x14ac:dyDescent="0.2">
      <c r="A131" s="4"/>
      <c r="B131" s="4"/>
      <c r="C131" s="4"/>
      <c r="D131" s="4"/>
    </row>
    <row r="132" spans="1:4" ht="18" customHeight="1" x14ac:dyDescent="0.2">
      <c r="A132" s="4"/>
      <c r="B132" s="4"/>
      <c r="C132" s="4"/>
      <c r="D132" s="4"/>
    </row>
    <row r="133" spans="1:4" ht="18" customHeight="1" x14ac:dyDescent="0.2">
      <c r="A133" s="4"/>
      <c r="B133" s="4"/>
      <c r="C133" s="4"/>
      <c r="D133" s="4"/>
    </row>
    <row r="134" spans="1:4" ht="18" customHeight="1" x14ac:dyDescent="0.2">
      <c r="A134" s="4"/>
      <c r="B134" s="4"/>
      <c r="C134" s="4"/>
      <c r="D134" s="4"/>
    </row>
    <row r="135" spans="1:4" ht="18" customHeight="1" x14ac:dyDescent="0.2">
      <c r="A135" s="4"/>
      <c r="B135" s="4"/>
      <c r="C135" s="4"/>
      <c r="D135" s="4"/>
    </row>
    <row r="136" spans="1:4" ht="18" customHeight="1" x14ac:dyDescent="0.2">
      <c r="A136" s="4"/>
      <c r="B136" s="4"/>
      <c r="C136" s="4"/>
      <c r="D136" s="4"/>
    </row>
    <row r="137" spans="1:4" ht="18" customHeight="1" x14ac:dyDescent="0.2">
      <c r="A137" s="4"/>
      <c r="B137" s="4"/>
      <c r="C137" s="4"/>
      <c r="D137" s="4"/>
    </row>
    <row r="138" spans="1:4" ht="18" customHeight="1" x14ac:dyDescent="0.2">
      <c r="A138" s="4"/>
      <c r="B138" s="4"/>
      <c r="C138" s="4"/>
      <c r="D138" s="4"/>
    </row>
    <row r="139" spans="1:4" ht="18" customHeight="1" x14ac:dyDescent="0.2">
      <c r="A139" s="4"/>
      <c r="B139" s="4"/>
      <c r="C139" s="4"/>
      <c r="D139" s="4"/>
    </row>
    <row r="140" spans="1:4" ht="18" customHeight="1" x14ac:dyDescent="0.2">
      <c r="A140" s="4"/>
      <c r="B140" s="4"/>
      <c r="C140" s="4"/>
      <c r="D140" s="4"/>
    </row>
    <row r="141" spans="1:4" ht="18" customHeight="1" x14ac:dyDescent="0.2">
      <c r="A141" s="4"/>
      <c r="B141" s="4"/>
      <c r="C141" s="4"/>
      <c r="D141" s="4"/>
    </row>
    <row r="142" spans="1:4" ht="18" customHeight="1" x14ac:dyDescent="0.2">
      <c r="A142" s="4"/>
      <c r="B142" s="4"/>
      <c r="C142" s="4"/>
      <c r="D142" s="4"/>
    </row>
    <row r="143" spans="1:4" ht="18" customHeight="1" x14ac:dyDescent="0.2">
      <c r="A143" s="4"/>
      <c r="B143" s="4"/>
      <c r="C143" s="4"/>
      <c r="D143" s="4"/>
    </row>
    <row r="144" spans="1:4" ht="18" customHeight="1" x14ac:dyDescent="0.2">
      <c r="A144" s="4"/>
      <c r="B144" s="4"/>
      <c r="C144" s="4"/>
      <c r="D144" s="4"/>
    </row>
    <row r="145" spans="1:4" ht="18" customHeight="1" x14ac:dyDescent="0.2">
      <c r="A145" s="4"/>
      <c r="B145" s="4"/>
      <c r="C145" s="4"/>
      <c r="D145" s="4"/>
    </row>
    <row r="146" spans="1:4" ht="18" customHeight="1" x14ac:dyDescent="0.2">
      <c r="A146" s="4"/>
      <c r="B146" s="4"/>
      <c r="C146" s="4"/>
      <c r="D146" s="4"/>
    </row>
    <row r="147" spans="1:4" ht="18" customHeight="1" x14ac:dyDescent="0.2">
      <c r="A147" s="4"/>
      <c r="B147" s="4"/>
      <c r="C147" s="4"/>
      <c r="D147" s="4"/>
    </row>
    <row r="148" spans="1:4" ht="18" customHeight="1" x14ac:dyDescent="0.2">
      <c r="A148" s="4"/>
      <c r="B148" s="4"/>
      <c r="C148" s="4"/>
      <c r="D148" s="4"/>
    </row>
    <row r="149" spans="1:4" ht="18" customHeight="1" x14ac:dyDescent="0.2">
      <c r="A149" s="4"/>
      <c r="B149" s="4"/>
      <c r="C149" s="4"/>
      <c r="D149" s="4"/>
    </row>
    <row r="150" spans="1:4" ht="18" customHeight="1" x14ac:dyDescent="0.2">
      <c r="A150" s="4"/>
      <c r="B150" s="4"/>
      <c r="C150" s="4"/>
      <c r="D150" s="4"/>
    </row>
    <row r="151" spans="1:4" ht="18" customHeight="1" x14ac:dyDescent="0.2">
      <c r="A151" s="4"/>
      <c r="B151" s="4"/>
      <c r="C151" s="4"/>
      <c r="D151" s="4"/>
    </row>
    <row r="152" spans="1:4" ht="18" customHeight="1" x14ac:dyDescent="0.2">
      <c r="A152" s="4"/>
      <c r="B152" s="4"/>
      <c r="C152" s="4"/>
      <c r="D152" s="4"/>
    </row>
    <row r="153" spans="1:4" ht="18" customHeight="1" x14ac:dyDescent="0.2">
      <c r="A153" s="4"/>
      <c r="B153" s="4"/>
      <c r="C153" s="4"/>
      <c r="D153" s="4"/>
    </row>
    <row r="154" spans="1:4" ht="18" customHeight="1" x14ac:dyDescent="0.2">
      <c r="A154" s="4"/>
      <c r="B154" s="4"/>
      <c r="C154" s="4"/>
      <c r="D154" s="4"/>
    </row>
    <row r="155" spans="1:4" ht="18" customHeight="1" x14ac:dyDescent="0.2">
      <c r="A155" s="4"/>
      <c r="B155" s="4"/>
      <c r="C155" s="4"/>
      <c r="D155" s="4"/>
    </row>
    <row r="156" spans="1:4" ht="18" customHeight="1" x14ac:dyDescent="0.2">
      <c r="A156" s="4"/>
      <c r="B156" s="4"/>
      <c r="C156" s="4"/>
      <c r="D156" s="4"/>
    </row>
    <row r="157" spans="1:4" ht="18" customHeight="1" x14ac:dyDescent="0.2">
      <c r="A157" s="4"/>
      <c r="B157" s="4"/>
      <c r="C157" s="4"/>
      <c r="D157" s="4"/>
    </row>
    <row r="158" spans="1:4" ht="18" customHeight="1" x14ac:dyDescent="0.2">
      <c r="A158" s="4"/>
      <c r="B158" s="4"/>
      <c r="C158" s="4"/>
      <c r="D158" s="4"/>
    </row>
    <row r="159" spans="1:4" ht="18" customHeight="1" x14ac:dyDescent="0.2">
      <c r="A159" s="4"/>
      <c r="B159" s="4"/>
      <c r="C159" s="4"/>
      <c r="D159" s="4"/>
    </row>
    <row r="160" spans="1:4" ht="18" customHeight="1" x14ac:dyDescent="0.2">
      <c r="A160" s="4"/>
      <c r="B160" s="4"/>
      <c r="C160" s="4"/>
      <c r="D160" s="4"/>
    </row>
    <row r="161" spans="1:4" ht="18" customHeight="1" x14ac:dyDescent="0.2">
      <c r="A161" s="4"/>
      <c r="B161" s="4"/>
      <c r="C161" s="4"/>
      <c r="D161" s="4"/>
    </row>
    <row r="162" spans="1:4" ht="18" customHeight="1" x14ac:dyDescent="0.2">
      <c r="A162" s="4"/>
      <c r="B162" s="4"/>
      <c r="C162" s="4"/>
      <c r="D162" s="4"/>
    </row>
    <row r="163" spans="1:4" ht="18" customHeight="1" x14ac:dyDescent="0.2">
      <c r="A163" s="4"/>
      <c r="B163" s="4"/>
      <c r="C163" s="4"/>
      <c r="D163" s="4"/>
    </row>
    <row r="164" spans="1:4" ht="18" customHeight="1" x14ac:dyDescent="0.2">
      <c r="A164" s="4"/>
      <c r="B164" s="4"/>
      <c r="C164" s="4"/>
      <c r="D164" s="4"/>
    </row>
    <row r="165" spans="1:4" ht="18" customHeight="1" x14ac:dyDescent="0.2">
      <c r="A165" s="4"/>
      <c r="B165" s="4"/>
      <c r="C165" s="4"/>
      <c r="D165" s="4"/>
    </row>
    <row r="166" spans="1:4" ht="18" customHeight="1" x14ac:dyDescent="0.2">
      <c r="A166" s="4"/>
      <c r="B166" s="4"/>
      <c r="C166" s="4"/>
      <c r="D166" s="4"/>
    </row>
    <row r="167" spans="1:4" ht="18" customHeight="1" x14ac:dyDescent="0.2">
      <c r="A167" s="4"/>
      <c r="B167" s="4"/>
      <c r="C167" s="4"/>
      <c r="D167" s="4"/>
    </row>
    <row r="168" spans="1:4" ht="18" customHeight="1" x14ac:dyDescent="0.2">
      <c r="A168" s="4"/>
      <c r="B168" s="4"/>
      <c r="C168" s="4"/>
      <c r="D168" s="4"/>
    </row>
    <row r="169" spans="1:4" ht="18" customHeight="1" x14ac:dyDescent="0.2">
      <c r="A169" s="4"/>
      <c r="B169" s="4"/>
      <c r="C169" s="4"/>
      <c r="D169" s="4"/>
    </row>
    <row r="170" spans="1:4" ht="18" customHeight="1" x14ac:dyDescent="0.2">
      <c r="A170" s="4"/>
      <c r="B170" s="4"/>
      <c r="C170" s="4"/>
      <c r="D170" s="4"/>
    </row>
    <row r="171" spans="1:4" ht="18" customHeight="1" x14ac:dyDescent="0.2">
      <c r="A171" s="4"/>
      <c r="B171" s="4"/>
      <c r="C171" s="4"/>
      <c r="D171" s="4"/>
    </row>
    <row r="172" spans="1:4" ht="18" customHeight="1" x14ac:dyDescent="0.2">
      <c r="A172" s="4"/>
      <c r="B172" s="4"/>
      <c r="C172" s="4"/>
      <c r="D172" s="4"/>
    </row>
    <row r="173" spans="1:4" ht="18" customHeight="1" x14ac:dyDescent="0.2">
      <c r="A173" s="4"/>
      <c r="B173" s="4"/>
      <c r="C173" s="4"/>
      <c r="D173" s="4"/>
    </row>
    <row r="174" spans="1:4" ht="18" customHeight="1" x14ac:dyDescent="0.2">
      <c r="A174" s="4"/>
      <c r="B174" s="4"/>
      <c r="C174" s="4"/>
      <c r="D174" s="4"/>
    </row>
    <row r="175" spans="1:4" ht="18" customHeight="1" x14ac:dyDescent="0.2">
      <c r="A175" s="4"/>
      <c r="B175" s="4"/>
      <c r="C175" s="4"/>
      <c r="D175" s="4"/>
    </row>
    <row r="176" spans="1:4" ht="18" customHeight="1" x14ac:dyDescent="0.2">
      <c r="A176" s="4"/>
      <c r="B176" s="4"/>
      <c r="C176" s="4"/>
      <c r="D176" s="4"/>
    </row>
    <row r="177" spans="1:4" ht="18" customHeight="1" x14ac:dyDescent="0.2">
      <c r="A177" s="4"/>
      <c r="B177" s="4"/>
      <c r="C177" s="4"/>
      <c r="D177" s="4"/>
    </row>
    <row r="178" spans="1:4" ht="18" customHeight="1" x14ac:dyDescent="0.2">
      <c r="A178" s="4"/>
      <c r="B178" s="4"/>
      <c r="C178" s="4"/>
      <c r="D178" s="4"/>
    </row>
    <row r="179" spans="1:4" ht="18" customHeight="1" x14ac:dyDescent="0.2">
      <c r="A179" s="4"/>
      <c r="B179" s="4"/>
      <c r="C179" s="4"/>
      <c r="D179" s="4"/>
    </row>
    <row r="180" spans="1:4" ht="18" customHeight="1" x14ac:dyDescent="0.2">
      <c r="A180" s="4"/>
      <c r="B180" s="4"/>
      <c r="C180" s="4"/>
      <c r="D180" s="4"/>
    </row>
    <row r="181" spans="1:4" ht="18" customHeight="1" x14ac:dyDescent="0.2">
      <c r="A181" s="4"/>
      <c r="B181" s="4"/>
      <c r="C181" s="4"/>
      <c r="D181" s="4"/>
    </row>
    <row r="182" spans="1:4" ht="18" customHeight="1" x14ac:dyDescent="0.2">
      <c r="A182" s="4"/>
      <c r="B182" s="4"/>
      <c r="C182" s="4"/>
      <c r="D182" s="4"/>
    </row>
    <row r="183" spans="1:4" ht="18" customHeight="1" x14ac:dyDescent="0.2">
      <c r="A183" s="4"/>
      <c r="B183" s="4"/>
      <c r="C183" s="4"/>
      <c r="D183" s="4"/>
    </row>
    <row r="184" spans="1:4" ht="18" customHeight="1" x14ac:dyDescent="0.2">
      <c r="A184" s="4"/>
      <c r="B184" s="4"/>
      <c r="C184" s="4"/>
      <c r="D184" s="4"/>
    </row>
    <row r="185" spans="1:4" ht="18" customHeight="1" x14ac:dyDescent="0.2">
      <c r="A185" s="4"/>
      <c r="B185" s="4"/>
      <c r="C185" s="4"/>
      <c r="D185" s="4"/>
    </row>
    <row r="186" spans="1:4" ht="18" customHeight="1" x14ac:dyDescent="0.2">
      <c r="A186" s="4"/>
      <c r="B186" s="4"/>
      <c r="C186" s="4"/>
      <c r="D186" s="4"/>
    </row>
    <row r="187" spans="1:4" ht="18" customHeight="1" x14ac:dyDescent="0.2">
      <c r="A187" s="4"/>
      <c r="B187" s="4"/>
      <c r="C187" s="4"/>
      <c r="D187" s="4"/>
    </row>
    <row r="188" spans="1:4" ht="18" customHeight="1" x14ac:dyDescent="0.2">
      <c r="A188" s="4"/>
      <c r="B188" s="4"/>
      <c r="C188" s="4"/>
      <c r="D188" s="4"/>
    </row>
    <row r="189" spans="1:4" ht="18" customHeight="1" x14ac:dyDescent="0.2">
      <c r="A189" s="4"/>
      <c r="B189" s="4"/>
      <c r="C189" s="4"/>
      <c r="D189" s="4"/>
    </row>
    <row r="190" spans="1:4" ht="18" customHeight="1" x14ac:dyDescent="0.2">
      <c r="A190" s="4"/>
      <c r="B190" s="4"/>
      <c r="C190" s="4"/>
      <c r="D190" s="4"/>
    </row>
    <row r="191" spans="1:4" ht="18" customHeight="1" x14ac:dyDescent="0.2">
      <c r="A191" s="4"/>
      <c r="B191" s="4"/>
      <c r="C191" s="4"/>
      <c r="D191" s="4"/>
    </row>
    <row r="192" spans="1:4" ht="18" customHeight="1" x14ac:dyDescent="0.2">
      <c r="A192" s="4"/>
      <c r="B192" s="4"/>
      <c r="C192" s="4"/>
      <c r="D192" s="4"/>
    </row>
    <row r="193" spans="1:4" ht="18" customHeight="1" x14ac:dyDescent="0.2">
      <c r="A193" s="4"/>
      <c r="B193" s="4"/>
      <c r="C193" s="4"/>
      <c r="D193" s="4"/>
    </row>
    <row r="194" spans="1:4" ht="18" customHeight="1" x14ac:dyDescent="0.2">
      <c r="A194" s="4"/>
      <c r="B194" s="4"/>
      <c r="C194" s="4"/>
      <c r="D194" s="4"/>
    </row>
    <row r="195" spans="1:4" ht="18" customHeight="1" x14ac:dyDescent="0.2">
      <c r="A195" s="4"/>
      <c r="B195" s="4"/>
      <c r="C195" s="4"/>
      <c r="D195" s="4"/>
    </row>
    <row r="196" spans="1:4" ht="18" customHeight="1" x14ac:dyDescent="0.2">
      <c r="A196" s="4"/>
      <c r="B196" s="4"/>
      <c r="C196" s="4"/>
      <c r="D196" s="4"/>
    </row>
    <row r="197" spans="1:4" ht="18" customHeight="1" x14ac:dyDescent="0.2">
      <c r="A197" s="4"/>
      <c r="B197" s="4"/>
      <c r="C197" s="4"/>
      <c r="D197" s="4"/>
    </row>
    <row r="198" spans="1:4" ht="18" customHeight="1" x14ac:dyDescent="0.2">
      <c r="A198" s="4"/>
      <c r="B198" s="4"/>
      <c r="C198" s="4"/>
      <c r="D198" s="4"/>
    </row>
    <row r="199" spans="1:4" ht="18" customHeight="1" x14ac:dyDescent="0.2">
      <c r="A199" s="4"/>
      <c r="B199" s="4"/>
      <c r="C199" s="4"/>
      <c r="D199" s="4"/>
    </row>
    <row r="200" spans="1:4" ht="18" customHeight="1" x14ac:dyDescent="0.2">
      <c r="A200" s="4"/>
      <c r="B200" s="4"/>
      <c r="C200" s="4"/>
      <c r="D200" s="4"/>
    </row>
  </sheetData>
  <mergeCells count="2">
    <mergeCell ref="A1:D1"/>
    <mergeCell ref="A2:D2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tabSelected="1" workbookViewId="0">
      <pane ySplit="3" topLeftCell="A4" activePane="bottomLeft" state="frozen"/>
      <selection pane="bottomLeft"/>
    </sheetView>
  </sheetViews>
  <sheetFormatPr defaultRowHeight="15" x14ac:dyDescent="0.2"/>
  <cols>
    <col min="1" max="1" width="25.9609375" customWidth="1"/>
    <col min="2" max="2" width="18.0234375" customWidth="1"/>
    <col min="3" max="3" width="25.9609375" customWidth="1"/>
    <col min="4" max="7" width="16.0078125" customWidth="1"/>
  </cols>
  <sheetData>
    <row r="1" spans="1:7" ht="27.95" customHeight="1" x14ac:dyDescent="0.2">
      <c r="A1" s="11" t="s">
        <v>56</v>
      </c>
      <c r="B1" s="8"/>
      <c r="C1" s="8"/>
      <c r="D1" s="8"/>
      <c r="E1" s="8"/>
      <c r="F1" s="8"/>
      <c r="G1" s="8"/>
    </row>
    <row r="2" spans="1:7" ht="33.950000000000003" customHeight="1" x14ac:dyDescent="0.2">
      <c r="A2" s="12" t="s">
        <v>57</v>
      </c>
      <c r="B2" s="8"/>
      <c r="C2" s="8"/>
      <c r="D2" s="8"/>
      <c r="E2" s="8"/>
      <c r="F2" s="8"/>
      <c r="G2" s="8"/>
    </row>
    <row r="3" spans="1:7" ht="21.95" customHeight="1" x14ac:dyDescent="0.2">
      <c r="A3" s="1" t="s">
        <v>52</v>
      </c>
      <c r="B3" s="1" t="s">
        <v>58</v>
      </c>
      <c r="C3" s="1" t="s">
        <v>59</v>
      </c>
      <c r="D3" s="1" t="s">
        <v>60</v>
      </c>
      <c r="E3" s="1" t="s">
        <v>61</v>
      </c>
      <c r="F3" s="1" t="s">
        <v>62</v>
      </c>
      <c r="G3" s="1" t="s">
        <v>63</v>
      </c>
    </row>
    <row r="4" spans="1:7" ht="18" customHeight="1" x14ac:dyDescent="0.2">
      <c r="A4" s="4" t="s">
        <v>14</v>
      </c>
      <c r="B4" s="4" t="s">
        <v>64</v>
      </c>
      <c r="C4" s="4" t="s">
        <v>65</v>
      </c>
      <c r="D4" s="4">
        <v>180000</v>
      </c>
      <c r="E4" s="4">
        <v>125000</v>
      </c>
      <c r="F4" s="4">
        <v>70</v>
      </c>
      <c r="G4" s="4" t="s">
        <v>66</v>
      </c>
    </row>
    <row r="5" spans="1:7" ht="18" customHeight="1" x14ac:dyDescent="0.2">
      <c r="A5" s="4" t="s">
        <v>14</v>
      </c>
      <c r="B5" s="4" t="s">
        <v>67</v>
      </c>
      <c r="C5" s="4" t="s">
        <v>68</v>
      </c>
      <c r="D5" s="4">
        <v>65000</v>
      </c>
      <c r="E5" s="4">
        <v>22000</v>
      </c>
      <c r="F5" s="4">
        <v>35</v>
      </c>
      <c r="G5" s="4" t="s">
        <v>66</v>
      </c>
    </row>
    <row r="6" spans="1:7" ht="18" customHeight="1" x14ac:dyDescent="0.2">
      <c r="A6" s="4" t="s">
        <v>14</v>
      </c>
      <c r="B6" s="4" t="s">
        <v>69</v>
      </c>
      <c r="C6" s="4" t="s">
        <v>70</v>
      </c>
      <c r="D6" s="4">
        <v>98000</v>
      </c>
      <c r="E6" s="4">
        <v>52000</v>
      </c>
      <c r="F6" s="4">
        <v>50</v>
      </c>
      <c r="G6" s="4" t="s">
        <v>66</v>
      </c>
    </row>
    <row r="7" spans="1:7" ht="18" customHeight="1" x14ac:dyDescent="0.2">
      <c r="A7" s="4" t="s">
        <v>14</v>
      </c>
      <c r="B7" s="4" t="s">
        <v>71</v>
      </c>
      <c r="C7" s="4" t="s">
        <v>72</v>
      </c>
      <c r="D7" s="4">
        <v>54000</v>
      </c>
      <c r="E7" s="4">
        <v>48000</v>
      </c>
      <c r="F7" s="4">
        <v>90</v>
      </c>
      <c r="G7" s="4" t="s">
        <v>66</v>
      </c>
    </row>
    <row r="8" spans="1:7" ht="18" customHeight="1" x14ac:dyDescent="0.2">
      <c r="A8" s="4" t="s">
        <v>14</v>
      </c>
      <c r="B8" s="4" t="s">
        <v>73</v>
      </c>
      <c r="C8" s="4" t="s">
        <v>74</v>
      </c>
      <c r="D8" s="4">
        <v>72000</v>
      </c>
      <c r="E8" s="4">
        <v>68000</v>
      </c>
      <c r="F8" s="4">
        <v>92</v>
      </c>
      <c r="G8" s="4" t="s">
        <v>66</v>
      </c>
    </row>
    <row r="9" spans="1:7" ht="18" customHeight="1" x14ac:dyDescent="0.2">
      <c r="A9" s="4" t="s">
        <v>14</v>
      </c>
      <c r="B9" s="4" t="s">
        <v>75</v>
      </c>
      <c r="C9" s="4" t="s">
        <v>76</v>
      </c>
      <c r="D9" s="4">
        <v>36000</v>
      </c>
      <c r="E9" s="4">
        <v>12000</v>
      </c>
      <c r="F9" s="4">
        <v>28</v>
      </c>
      <c r="G9" s="4" t="s">
        <v>66</v>
      </c>
    </row>
    <row r="10" spans="1:7" ht="18" customHeight="1" x14ac:dyDescent="0.2">
      <c r="A10" s="4" t="s">
        <v>14</v>
      </c>
      <c r="B10" s="4" t="s">
        <v>77</v>
      </c>
      <c r="C10" s="4" t="s">
        <v>78</v>
      </c>
      <c r="D10" s="4">
        <v>42000</v>
      </c>
      <c r="E10" s="4">
        <v>8000</v>
      </c>
      <c r="F10" s="4">
        <v>15</v>
      </c>
      <c r="G10" s="4" t="s">
        <v>66</v>
      </c>
    </row>
    <row r="11" spans="1:7" ht="18" customHeight="1" x14ac:dyDescent="0.2">
      <c r="A11" s="4" t="s">
        <v>14</v>
      </c>
      <c r="B11" s="4" t="s">
        <v>79</v>
      </c>
      <c r="C11" s="4" t="s">
        <v>80</v>
      </c>
      <c r="D11" s="4">
        <v>32000</v>
      </c>
      <c r="E11" s="4">
        <v>18000</v>
      </c>
      <c r="F11" s="4">
        <v>55</v>
      </c>
      <c r="G11" s="4" t="s">
        <v>66</v>
      </c>
    </row>
    <row r="12" spans="1:7" ht="18" customHeight="1" x14ac:dyDescent="0.2">
      <c r="A12" s="4" t="s">
        <v>14</v>
      </c>
      <c r="B12" s="4" t="s">
        <v>81</v>
      </c>
      <c r="C12" s="4" t="s">
        <v>82</v>
      </c>
      <c r="D12" s="4">
        <v>45000</v>
      </c>
      <c r="E12" s="4">
        <v>14000</v>
      </c>
      <c r="F12" s="4">
        <v>25</v>
      </c>
      <c r="G12" s="4" t="s">
        <v>66</v>
      </c>
    </row>
    <row r="13" spans="1:7" ht="18" customHeight="1" x14ac:dyDescent="0.2">
      <c r="A13" s="4" t="s">
        <v>14</v>
      </c>
      <c r="B13" s="4" t="s">
        <v>83</v>
      </c>
      <c r="C13" s="4" t="s">
        <v>84</v>
      </c>
      <c r="D13" s="4">
        <v>78000</v>
      </c>
      <c r="E13" s="4">
        <v>39000</v>
      </c>
      <c r="F13" s="4">
        <v>45</v>
      </c>
      <c r="G13" s="4" t="s">
        <v>66</v>
      </c>
    </row>
    <row r="14" spans="1:7" ht="18" customHeight="1" x14ac:dyDescent="0.2">
      <c r="A14" s="4"/>
      <c r="B14" s="4"/>
      <c r="C14" s="4"/>
      <c r="D14" s="4"/>
      <c r="E14" s="4"/>
      <c r="F14" s="4"/>
      <c r="G14" s="4"/>
    </row>
    <row r="15" spans="1:7" ht="18" customHeight="1" x14ac:dyDescent="0.2">
      <c r="A15" s="4"/>
      <c r="B15" s="4"/>
      <c r="C15" s="4"/>
      <c r="D15" s="4"/>
      <c r="E15" s="4"/>
      <c r="F15" s="4"/>
      <c r="G15" s="4"/>
    </row>
    <row r="16" spans="1:7" ht="18" customHeight="1" x14ac:dyDescent="0.2">
      <c r="A16" s="4"/>
      <c r="B16" s="4"/>
      <c r="C16" s="4"/>
      <c r="D16" s="4"/>
      <c r="E16" s="4"/>
      <c r="F16" s="4"/>
      <c r="G16" s="4"/>
    </row>
    <row r="17" spans="1:7" ht="18" customHeight="1" x14ac:dyDescent="0.2">
      <c r="A17" s="4"/>
      <c r="B17" s="4"/>
      <c r="C17" s="4"/>
      <c r="D17" s="4"/>
      <c r="E17" s="4"/>
      <c r="F17" s="4"/>
      <c r="G17" s="4"/>
    </row>
    <row r="18" spans="1:7" ht="18" customHeight="1" x14ac:dyDescent="0.2">
      <c r="A18" s="4"/>
      <c r="B18" s="4"/>
      <c r="C18" s="4"/>
      <c r="D18" s="4"/>
      <c r="E18" s="4"/>
      <c r="F18" s="4"/>
      <c r="G18" s="4"/>
    </row>
    <row r="19" spans="1:7" ht="18" customHeight="1" x14ac:dyDescent="0.2">
      <c r="A19" s="4"/>
      <c r="B19" s="4"/>
      <c r="C19" s="4"/>
      <c r="D19" s="4"/>
      <c r="E19" s="4"/>
      <c r="F19" s="4"/>
      <c r="G19" s="4"/>
    </row>
    <row r="20" spans="1:7" ht="18" customHeight="1" x14ac:dyDescent="0.2">
      <c r="A20" s="4"/>
      <c r="B20" s="4"/>
      <c r="C20" s="4"/>
      <c r="D20" s="4"/>
      <c r="E20" s="4"/>
      <c r="F20" s="4"/>
      <c r="G20" s="4"/>
    </row>
    <row r="21" spans="1:7" ht="18" customHeight="1" x14ac:dyDescent="0.2">
      <c r="A21" s="4"/>
      <c r="B21" s="4"/>
      <c r="C21" s="4"/>
      <c r="D21" s="4"/>
      <c r="E21" s="4"/>
      <c r="F21" s="4"/>
      <c r="G21" s="4"/>
    </row>
    <row r="22" spans="1:7" ht="18" customHeight="1" x14ac:dyDescent="0.2">
      <c r="A22" s="4"/>
      <c r="B22" s="4"/>
      <c r="C22" s="4"/>
      <c r="D22" s="4"/>
      <c r="E22" s="4"/>
      <c r="F22" s="4"/>
      <c r="G22" s="4"/>
    </row>
    <row r="23" spans="1:7" ht="18" customHeight="1" x14ac:dyDescent="0.2">
      <c r="A23" s="4"/>
      <c r="B23" s="4"/>
      <c r="C23" s="4"/>
      <c r="D23" s="4"/>
      <c r="E23" s="4"/>
      <c r="F23" s="4"/>
      <c r="G23" s="4"/>
    </row>
    <row r="24" spans="1:7" ht="18" customHeight="1" x14ac:dyDescent="0.2">
      <c r="A24" s="4"/>
      <c r="B24" s="4"/>
      <c r="C24" s="4"/>
      <c r="D24" s="4"/>
      <c r="E24" s="4"/>
      <c r="F24" s="4"/>
      <c r="G24" s="4"/>
    </row>
    <row r="25" spans="1:7" ht="18" customHeight="1" x14ac:dyDescent="0.2">
      <c r="A25" s="4"/>
      <c r="B25" s="4"/>
      <c r="C25" s="4"/>
      <c r="D25" s="4"/>
      <c r="E25" s="4"/>
      <c r="F25" s="4"/>
      <c r="G25" s="4"/>
    </row>
    <row r="26" spans="1:7" ht="18" customHeight="1" x14ac:dyDescent="0.2">
      <c r="A26" s="4"/>
      <c r="B26" s="4"/>
      <c r="C26" s="4"/>
      <c r="D26" s="4"/>
      <c r="E26" s="4"/>
      <c r="F26" s="4"/>
      <c r="G26" s="4"/>
    </row>
    <row r="27" spans="1:7" ht="18" customHeight="1" x14ac:dyDescent="0.2">
      <c r="A27" s="4"/>
      <c r="B27" s="4"/>
      <c r="C27" s="4"/>
      <c r="D27" s="4"/>
      <c r="E27" s="4"/>
      <c r="F27" s="4"/>
      <c r="G27" s="4"/>
    </row>
    <row r="28" spans="1:7" ht="18" customHeight="1" x14ac:dyDescent="0.2">
      <c r="A28" s="4"/>
      <c r="B28" s="4"/>
      <c r="C28" s="4"/>
      <c r="D28" s="4"/>
      <c r="E28" s="4"/>
      <c r="F28" s="4"/>
      <c r="G28" s="4"/>
    </row>
    <row r="29" spans="1:7" ht="18" customHeight="1" x14ac:dyDescent="0.2">
      <c r="A29" s="4"/>
      <c r="B29" s="4"/>
      <c r="C29" s="4"/>
      <c r="D29" s="4"/>
      <c r="E29" s="4"/>
      <c r="F29" s="4"/>
      <c r="G29" s="4"/>
    </row>
    <row r="30" spans="1:7" ht="18" customHeight="1" x14ac:dyDescent="0.2">
      <c r="A30" s="4"/>
      <c r="B30" s="4"/>
      <c r="C30" s="4"/>
      <c r="D30" s="4"/>
      <c r="E30" s="4"/>
      <c r="F30" s="4"/>
      <c r="G30" s="4"/>
    </row>
    <row r="31" spans="1:7" ht="18" customHeight="1" x14ac:dyDescent="0.2">
      <c r="A31" s="4"/>
      <c r="B31" s="4"/>
      <c r="C31" s="4"/>
      <c r="D31" s="4"/>
      <c r="E31" s="4"/>
      <c r="F31" s="4"/>
      <c r="G31" s="4"/>
    </row>
    <row r="32" spans="1:7" ht="18" customHeight="1" x14ac:dyDescent="0.2">
      <c r="A32" s="4"/>
      <c r="B32" s="4"/>
      <c r="C32" s="4"/>
      <c r="D32" s="4"/>
      <c r="E32" s="4"/>
      <c r="F32" s="4"/>
      <c r="G32" s="4"/>
    </row>
    <row r="33" spans="1:7" ht="18" customHeight="1" x14ac:dyDescent="0.2">
      <c r="A33" s="4"/>
      <c r="B33" s="4"/>
      <c r="C33" s="4"/>
      <c r="D33" s="4"/>
      <c r="E33" s="4"/>
      <c r="F33" s="4"/>
      <c r="G33" s="4"/>
    </row>
    <row r="34" spans="1:7" ht="18" customHeight="1" x14ac:dyDescent="0.2">
      <c r="A34" s="4"/>
      <c r="B34" s="4"/>
      <c r="C34" s="4"/>
      <c r="D34" s="4"/>
      <c r="E34" s="4"/>
      <c r="F34" s="4"/>
      <c r="G34" s="4"/>
    </row>
    <row r="35" spans="1:7" ht="18" customHeight="1" x14ac:dyDescent="0.2">
      <c r="A35" s="4"/>
      <c r="B35" s="4"/>
      <c r="C35" s="4"/>
      <c r="D35" s="4"/>
      <c r="E35" s="4"/>
      <c r="F35" s="4"/>
      <c r="G35" s="4"/>
    </row>
    <row r="36" spans="1:7" ht="18" customHeight="1" x14ac:dyDescent="0.2">
      <c r="A36" s="4"/>
      <c r="B36" s="4"/>
      <c r="C36" s="4"/>
      <c r="D36" s="4"/>
      <c r="E36" s="4"/>
      <c r="F36" s="4"/>
      <c r="G36" s="4"/>
    </row>
    <row r="37" spans="1:7" ht="18" customHeight="1" x14ac:dyDescent="0.2">
      <c r="A37" s="4"/>
      <c r="B37" s="4"/>
      <c r="C37" s="4"/>
      <c r="D37" s="4"/>
      <c r="E37" s="4"/>
      <c r="F37" s="4"/>
      <c r="G37" s="4"/>
    </row>
    <row r="38" spans="1:7" ht="18" customHeight="1" x14ac:dyDescent="0.2">
      <c r="A38" s="4"/>
      <c r="B38" s="4"/>
      <c r="C38" s="4"/>
      <c r="D38" s="4"/>
      <c r="E38" s="4"/>
      <c r="F38" s="4"/>
      <c r="G38" s="4"/>
    </row>
    <row r="39" spans="1:7" ht="18" customHeight="1" x14ac:dyDescent="0.2">
      <c r="A39" s="4"/>
      <c r="B39" s="4"/>
      <c r="C39" s="4"/>
      <c r="D39" s="4"/>
      <c r="E39" s="4"/>
      <c r="F39" s="4"/>
      <c r="G39" s="4"/>
    </row>
    <row r="40" spans="1:7" ht="18" customHeight="1" x14ac:dyDescent="0.2">
      <c r="A40" s="4"/>
      <c r="B40" s="4"/>
      <c r="C40" s="4"/>
      <c r="D40" s="4"/>
      <c r="E40" s="4"/>
      <c r="F40" s="4"/>
      <c r="G40" s="4"/>
    </row>
    <row r="41" spans="1:7" ht="18" customHeight="1" x14ac:dyDescent="0.2">
      <c r="A41" s="4"/>
      <c r="B41" s="4"/>
      <c r="C41" s="4"/>
      <c r="D41" s="4"/>
      <c r="E41" s="4"/>
      <c r="F41" s="4"/>
      <c r="G41" s="4"/>
    </row>
    <row r="42" spans="1:7" ht="18" customHeight="1" x14ac:dyDescent="0.2">
      <c r="A42" s="4"/>
      <c r="B42" s="4"/>
      <c r="C42" s="4"/>
      <c r="D42" s="4"/>
      <c r="E42" s="4"/>
      <c r="F42" s="4"/>
      <c r="G42" s="4"/>
    </row>
    <row r="43" spans="1:7" ht="18" customHeight="1" x14ac:dyDescent="0.2">
      <c r="A43" s="4"/>
      <c r="B43" s="4"/>
      <c r="C43" s="4"/>
      <c r="D43" s="4"/>
      <c r="E43" s="4"/>
      <c r="F43" s="4"/>
      <c r="G43" s="4"/>
    </row>
    <row r="44" spans="1:7" ht="18" customHeight="1" x14ac:dyDescent="0.2">
      <c r="A44" s="4"/>
      <c r="B44" s="4"/>
      <c r="C44" s="4"/>
      <c r="D44" s="4"/>
      <c r="E44" s="4"/>
      <c r="F44" s="4"/>
      <c r="G44" s="4"/>
    </row>
    <row r="45" spans="1:7" ht="18" customHeight="1" x14ac:dyDescent="0.2">
      <c r="A45" s="4"/>
      <c r="B45" s="4"/>
      <c r="C45" s="4"/>
      <c r="D45" s="4"/>
      <c r="E45" s="4"/>
      <c r="F45" s="4"/>
      <c r="G45" s="4"/>
    </row>
    <row r="46" spans="1:7" ht="18" customHeight="1" x14ac:dyDescent="0.2">
      <c r="A46" s="4"/>
      <c r="B46" s="4"/>
      <c r="C46" s="4"/>
      <c r="D46" s="4"/>
      <c r="E46" s="4"/>
      <c r="F46" s="4"/>
      <c r="G46" s="4"/>
    </row>
    <row r="47" spans="1:7" ht="18" customHeight="1" x14ac:dyDescent="0.2">
      <c r="A47" s="4"/>
      <c r="B47" s="4"/>
      <c r="C47" s="4"/>
      <c r="D47" s="4"/>
      <c r="E47" s="4"/>
      <c r="F47" s="4"/>
      <c r="G47" s="4"/>
    </row>
    <row r="48" spans="1:7" ht="18" customHeight="1" x14ac:dyDescent="0.2">
      <c r="A48" s="4"/>
      <c r="B48" s="4"/>
      <c r="C48" s="4"/>
      <c r="D48" s="4"/>
      <c r="E48" s="4"/>
      <c r="F48" s="4"/>
      <c r="G48" s="4"/>
    </row>
    <row r="49" spans="1:7" ht="18" customHeight="1" x14ac:dyDescent="0.2">
      <c r="A49" s="4"/>
      <c r="B49" s="4"/>
      <c r="C49" s="4"/>
      <c r="D49" s="4"/>
      <c r="E49" s="4"/>
      <c r="F49" s="4"/>
      <c r="G49" s="4"/>
    </row>
    <row r="50" spans="1:7" ht="18" customHeight="1" x14ac:dyDescent="0.2">
      <c r="A50" s="4"/>
      <c r="B50" s="4"/>
      <c r="C50" s="4"/>
      <c r="D50" s="4"/>
      <c r="E50" s="4"/>
      <c r="F50" s="4"/>
      <c r="G50" s="4"/>
    </row>
    <row r="51" spans="1:7" ht="18" customHeight="1" x14ac:dyDescent="0.2">
      <c r="A51" s="4"/>
      <c r="B51" s="4"/>
      <c r="C51" s="4"/>
      <c r="D51" s="4"/>
      <c r="E51" s="4"/>
      <c r="F51" s="4"/>
      <c r="G51" s="4"/>
    </row>
    <row r="52" spans="1:7" ht="18" customHeight="1" x14ac:dyDescent="0.2">
      <c r="A52" s="4"/>
      <c r="B52" s="4"/>
      <c r="C52" s="4"/>
      <c r="D52" s="4"/>
      <c r="E52" s="4"/>
      <c r="F52" s="4"/>
      <c r="G52" s="4"/>
    </row>
    <row r="53" spans="1:7" ht="18" customHeight="1" x14ac:dyDescent="0.2">
      <c r="A53" s="4"/>
      <c r="B53" s="4"/>
      <c r="C53" s="4"/>
      <c r="D53" s="4"/>
      <c r="E53" s="4"/>
      <c r="F53" s="4"/>
      <c r="G53" s="4"/>
    </row>
    <row r="54" spans="1:7" ht="18" customHeight="1" x14ac:dyDescent="0.2">
      <c r="A54" s="4"/>
      <c r="B54" s="4"/>
      <c r="C54" s="4"/>
      <c r="D54" s="4"/>
      <c r="E54" s="4"/>
      <c r="F54" s="4"/>
      <c r="G54" s="4"/>
    </row>
    <row r="55" spans="1:7" ht="18" customHeight="1" x14ac:dyDescent="0.2">
      <c r="A55" s="4"/>
      <c r="B55" s="4"/>
      <c r="C55" s="4"/>
      <c r="D55" s="4"/>
      <c r="E55" s="4"/>
      <c r="F55" s="4"/>
      <c r="G55" s="4"/>
    </row>
    <row r="56" spans="1:7" ht="18" customHeight="1" x14ac:dyDescent="0.2">
      <c r="A56" s="4"/>
      <c r="B56" s="4"/>
      <c r="C56" s="4"/>
      <c r="D56" s="4"/>
      <c r="E56" s="4"/>
      <c r="F56" s="4"/>
      <c r="G56" s="4"/>
    </row>
    <row r="57" spans="1:7" ht="18" customHeight="1" x14ac:dyDescent="0.2">
      <c r="A57" s="4"/>
      <c r="B57" s="4"/>
      <c r="C57" s="4"/>
      <c r="D57" s="4"/>
      <c r="E57" s="4"/>
      <c r="F57" s="4"/>
      <c r="G57" s="4"/>
    </row>
    <row r="58" spans="1:7" ht="18" customHeight="1" x14ac:dyDescent="0.2">
      <c r="A58" s="4"/>
      <c r="B58" s="4"/>
      <c r="C58" s="4"/>
      <c r="D58" s="4"/>
      <c r="E58" s="4"/>
      <c r="F58" s="4"/>
      <c r="G58" s="4"/>
    </row>
    <row r="59" spans="1:7" ht="18" customHeight="1" x14ac:dyDescent="0.2">
      <c r="A59" s="4"/>
      <c r="B59" s="4"/>
      <c r="C59" s="4"/>
      <c r="D59" s="4"/>
      <c r="E59" s="4"/>
      <c r="F59" s="4"/>
      <c r="G59" s="4"/>
    </row>
    <row r="60" spans="1:7" ht="18" customHeight="1" x14ac:dyDescent="0.2">
      <c r="A60" s="4"/>
      <c r="B60" s="4"/>
      <c r="C60" s="4"/>
      <c r="D60" s="4"/>
      <c r="E60" s="4"/>
      <c r="F60" s="4"/>
      <c r="G60" s="4"/>
    </row>
    <row r="61" spans="1:7" ht="18" customHeight="1" x14ac:dyDescent="0.2">
      <c r="A61" s="4"/>
      <c r="B61" s="4"/>
      <c r="C61" s="4"/>
      <c r="D61" s="4"/>
      <c r="E61" s="4"/>
      <c r="F61" s="4"/>
      <c r="G61" s="4"/>
    </row>
    <row r="62" spans="1:7" ht="18" customHeight="1" x14ac:dyDescent="0.2">
      <c r="A62" s="4"/>
      <c r="B62" s="4"/>
      <c r="C62" s="4"/>
      <c r="D62" s="4"/>
      <c r="E62" s="4"/>
      <c r="F62" s="4"/>
      <c r="G62" s="4"/>
    </row>
    <row r="63" spans="1:7" ht="18" customHeight="1" x14ac:dyDescent="0.2">
      <c r="A63" s="4"/>
      <c r="B63" s="4"/>
      <c r="C63" s="4"/>
      <c r="D63" s="4"/>
      <c r="E63" s="4"/>
      <c r="F63" s="4"/>
      <c r="G63" s="4"/>
    </row>
    <row r="64" spans="1:7" ht="18" customHeight="1" x14ac:dyDescent="0.2">
      <c r="A64" s="4"/>
      <c r="B64" s="4"/>
      <c r="C64" s="4"/>
      <c r="D64" s="4"/>
      <c r="E64" s="4"/>
      <c r="F64" s="4"/>
      <c r="G64" s="4"/>
    </row>
    <row r="65" spans="1:7" ht="18" customHeight="1" x14ac:dyDescent="0.2">
      <c r="A65" s="4"/>
      <c r="B65" s="4"/>
      <c r="C65" s="4"/>
      <c r="D65" s="4"/>
      <c r="E65" s="4"/>
      <c r="F65" s="4"/>
      <c r="G65" s="4"/>
    </row>
    <row r="66" spans="1:7" ht="18" customHeight="1" x14ac:dyDescent="0.2">
      <c r="A66" s="4"/>
      <c r="B66" s="4"/>
      <c r="C66" s="4"/>
      <c r="D66" s="4"/>
      <c r="E66" s="4"/>
      <c r="F66" s="4"/>
      <c r="G66" s="4"/>
    </row>
    <row r="67" spans="1:7" ht="18" customHeight="1" x14ac:dyDescent="0.2">
      <c r="A67" s="4"/>
      <c r="B67" s="4"/>
      <c r="C67" s="4"/>
      <c r="D67" s="4"/>
      <c r="E67" s="4"/>
      <c r="F67" s="4"/>
      <c r="G67" s="4"/>
    </row>
    <row r="68" spans="1:7" ht="18" customHeight="1" x14ac:dyDescent="0.2">
      <c r="A68" s="4"/>
      <c r="B68" s="4"/>
      <c r="C68" s="4"/>
      <c r="D68" s="4"/>
      <c r="E68" s="4"/>
      <c r="F68" s="4"/>
      <c r="G68" s="4"/>
    </row>
    <row r="69" spans="1:7" ht="18" customHeight="1" x14ac:dyDescent="0.2">
      <c r="A69" s="4"/>
      <c r="B69" s="4"/>
      <c r="C69" s="4"/>
      <c r="D69" s="4"/>
      <c r="E69" s="4"/>
      <c r="F69" s="4"/>
      <c r="G69" s="4"/>
    </row>
    <row r="70" spans="1:7" ht="18" customHeight="1" x14ac:dyDescent="0.2">
      <c r="A70" s="4"/>
      <c r="B70" s="4"/>
      <c r="C70" s="4"/>
      <c r="D70" s="4"/>
      <c r="E70" s="4"/>
      <c r="F70" s="4"/>
      <c r="G70" s="4"/>
    </row>
    <row r="71" spans="1:7" ht="18" customHeight="1" x14ac:dyDescent="0.2">
      <c r="A71" s="4"/>
      <c r="B71" s="4"/>
      <c r="C71" s="4"/>
      <c r="D71" s="4"/>
      <c r="E71" s="4"/>
      <c r="F71" s="4"/>
      <c r="G71" s="4"/>
    </row>
    <row r="72" spans="1:7" ht="18" customHeight="1" x14ac:dyDescent="0.2">
      <c r="A72" s="4"/>
      <c r="B72" s="4"/>
      <c r="C72" s="4"/>
      <c r="D72" s="4"/>
      <c r="E72" s="4"/>
      <c r="F72" s="4"/>
      <c r="G72" s="4"/>
    </row>
    <row r="73" spans="1:7" ht="18" customHeight="1" x14ac:dyDescent="0.2">
      <c r="A73" s="4"/>
      <c r="B73" s="4"/>
      <c r="C73" s="4"/>
      <c r="D73" s="4"/>
      <c r="E73" s="4"/>
      <c r="F73" s="4"/>
      <c r="G73" s="4"/>
    </row>
    <row r="74" spans="1:7" ht="18" customHeight="1" x14ac:dyDescent="0.2">
      <c r="A74" s="4"/>
      <c r="B74" s="4"/>
      <c r="C74" s="4"/>
      <c r="D74" s="4"/>
      <c r="E74" s="4"/>
      <c r="F74" s="4"/>
      <c r="G74" s="4"/>
    </row>
    <row r="75" spans="1:7" ht="18" customHeight="1" x14ac:dyDescent="0.2">
      <c r="A75" s="4"/>
      <c r="B75" s="4"/>
      <c r="C75" s="4"/>
      <c r="D75" s="4"/>
      <c r="E75" s="4"/>
      <c r="F75" s="4"/>
      <c r="G75" s="4"/>
    </row>
    <row r="76" spans="1:7" ht="18" customHeight="1" x14ac:dyDescent="0.2">
      <c r="A76" s="4"/>
      <c r="B76" s="4"/>
      <c r="C76" s="4"/>
      <c r="D76" s="4"/>
      <c r="E76" s="4"/>
      <c r="F76" s="4"/>
      <c r="G76" s="4"/>
    </row>
    <row r="77" spans="1:7" ht="18" customHeight="1" x14ac:dyDescent="0.2">
      <c r="A77" s="4"/>
      <c r="B77" s="4"/>
      <c r="C77" s="4"/>
      <c r="D77" s="4"/>
      <c r="E77" s="4"/>
      <c r="F77" s="4"/>
      <c r="G77" s="4"/>
    </row>
    <row r="78" spans="1:7" ht="18" customHeight="1" x14ac:dyDescent="0.2">
      <c r="A78" s="4"/>
      <c r="B78" s="4"/>
      <c r="C78" s="4"/>
      <c r="D78" s="4"/>
      <c r="E78" s="4"/>
      <c r="F78" s="4"/>
      <c r="G78" s="4"/>
    </row>
    <row r="79" spans="1:7" ht="18" customHeight="1" x14ac:dyDescent="0.2">
      <c r="A79" s="4"/>
      <c r="B79" s="4"/>
      <c r="C79" s="4"/>
      <c r="D79" s="4"/>
      <c r="E79" s="4"/>
      <c r="F79" s="4"/>
      <c r="G79" s="4"/>
    </row>
    <row r="80" spans="1:7" ht="18" customHeight="1" x14ac:dyDescent="0.2">
      <c r="A80" s="4"/>
      <c r="B80" s="4"/>
      <c r="C80" s="4"/>
      <c r="D80" s="4"/>
      <c r="E80" s="4"/>
      <c r="F80" s="4"/>
      <c r="G80" s="4"/>
    </row>
    <row r="81" spans="1:7" ht="18" customHeight="1" x14ac:dyDescent="0.2">
      <c r="A81" s="4"/>
      <c r="B81" s="4"/>
      <c r="C81" s="4"/>
      <c r="D81" s="4"/>
      <c r="E81" s="4"/>
      <c r="F81" s="4"/>
      <c r="G81" s="4"/>
    </row>
    <row r="82" spans="1:7" ht="18" customHeight="1" x14ac:dyDescent="0.2">
      <c r="A82" s="4"/>
      <c r="B82" s="4"/>
      <c r="C82" s="4"/>
      <c r="D82" s="4"/>
      <c r="E82" s="4"/>
      <c r="F82" s="4"/>
      <c r="G82" s="4"/>
    </row>
    <row r="83" spans="1:7" ht="18" customHeight="1" x14ac:dyDescent="0.2">
      <c r="A83" s="4"/>
      <c r="B83" s="4"/>
      <c r="C83" s="4"/>
      <c r="D83" s="4"/>
      <c r="E83" s="4"/>
      <c r="F83" s="4"/>
      <c r="G83" s="4"/>
    </row>
    <row r="84" spans="1:7" ht="18" customHeight="1" x14ac:dyDescent="0.2">
      <c r="A84" s="4"/>
      <c r="B84" s="4"/>
      <c r="C84" s="4"/>
      <c r="D84" s="4"/>
      <c r="E84" s="4"/>
      <c r="F84" s="4"/>
      <c r="G84" s="4"/>
    </row>
    <row r="85" spans="1:7" ht="18" customHeight="1" x14ac:dyDescent="0.2">
      <c r="A85" s="4"/>
      <c r="B85" s="4"/>
      <c r="C85" s="4"/>
      <c r="D85" s="4"/>
      <c r="E85" s="4"/>
      <c r="F85" s="4"/>
      <c r="G85" s="4"/>
    </row>
    <row r="86" spans="1:7" ht="18" customHeight="1" x14ac:dyDescent="0.2">
      <c r="A86" s="4"/>
      <c r="B86" s="4"/>
      <c r="C86" s="4"/>
      <c r="D86" s="4"/>
      <c r="E86" s="4"/>
      <c r="F86" s="4"/>
      <c r="G86" s="4"/>
    </row>
    <row r="87" spans="1:7" ht="18" customHeight="1" x14ac:dyDescent="0.2">
      <c r="A87" s="4"/>
      <c r="B87" s="4"/>
      <c r="C87" s="4"/>
      <c r="D87" s="4"/>
      <c r="E87" s="4"/>
      <c r="F87" s="4"/>
      <c r="G87" s="4"/>
    </row>
    <row r="88" spans="1:7" ht="18" customHeight="1" x14ac:dyDescent="0.2">
      <c r="A88" s="4"/>
      <c r="B88" s="4"/>
      <c r="C88" s="4"/>
      <c r="D88" s="4"/>
      <c r="E88" s="4"/>
      <c r="F88" s="4"/>
      <c r="G88" s="4"/>
    </row>
    <row r="89" spans="1:7" ht="18" customHeight="1" x14ac:dyDescent="0.2">
      <c r="A89" s="4"/>
      <c r="B89" s="4"/>
      <c r="C89" s="4"/>
      <c r="D89" s="4"/>
      <c r="E89" s="4"/>
      <c r="F89" s="4"/>
      <c r="G89" s="4"/>
    </row>
    <row r="90" spans="1:7" ht="18" customHeight="1" x14ac:dyDescent="0.2">
      <c r="A90" s="4"/>
      <c r="B90" s="4"/>
      <c r="C90" s="4"/>
      <c r="D90" s="4"/>
      <c r="E90" s="4"/>
      <c r="F90" s="4"/>
      <c r="G90" s="4"/>
    </row>
    <row r="91" spans="1:7" ht="18" customHeight="1" x14ac:dyDescent="0.2">
      <c r="A91" s="4"/>
      <c r="B91" s="4"/>
      <c r="C91" s="4"/>
      <c r="D91" s="4"/>
      <c r="E91" s="4"/>
      <c r="F91" s="4"/>
      <c r="G91" s="4"/>
    </row>
    <row r="92" spans="1:7" ht="18" customHeight="1" x14ac:dyDescent="0.2">
      <c r="A92" s="4"/>
      <c r="B92" s="4"/>
      <c r="C92" s="4"/>
      <c r="D92" s="4"/>
      <c r="E92" s="4"/>
      <c r="F92" s="4"/>
      <c r="G92" s="4"/>
    </row>
    <row r="93" spans="1:7" ht="18" customHeight="1" x14ac:dyDescent="0.2">
      <c r="A93" s="4"/>
      <c r="B93" s="4"/>
      <c r="C93" s="4"/>
      <c r="D93" s="4"/>
      <c r="E93" s="4"/>
      <c r="F93" s="4"/>
      <c r="G93" s="4"/>
    </row>
    <row r="94" spans="1:7" ht="18" customHeight="1" x14ac:dyDescent="0.2">
      <c r="A94" s="4"/>
      <c r="B94" s="4"/>
      <c r="C94" s="4"/>
      <c r="D94" s="4"/>
      <c r="E94" s="4"/>
      <c r="F94" s="4"/>
      <c r="G94" s="4"/>
    </row>
    <row r="95" spans="1:7" ht="18" customHeight="1" x14ac:dyDescent="0.2">
      <c r="A95" s="4"/>
      <c r="B95" s="4"/>
      <c r="C95" s="4"/>
      <c r="D95" s="4"/>
      <c r="E95" s="4"/>
      <c r="F95" s="4"/>
      <c r="G95" s="4"/>
    </row>
    <row r="96" spans="1:7" ht="18" customHeight="1" x14ac:dyDescent="0.2">
      <c r="A96" s="4"/>
      <c r="B96" s="4"/>
      <c r="C96" s="4"/>
      <c r="D96" s="4"/>
      <c r="E96" s="4"/>
      <c r="F96" s="4"/>
      <c r="G96" s="4"/>
    </row>
    <row r="97" spans="1:7" ht="18" customHeight="1" x14ac:dyDescent="0.2">
      <c r="A97" s="4"/>
      <c r="B97" s="4"/>
      <c r="C97" s="4"/>
      <c r="D97" s="4"/>
      <c r="E97" s="4"/>
      <c r="F97" s="4"/>
      <c r="G97" s="4"/>
    </row>
    <row r="98" spans="1:7" ht="18" customHeight="1" x14ac:dyDescent="0.2">
      <c r="A98" s="4"/>
      <c r="B98" s="4"/>
      <c r="C98" s="4"/>
      <c r="D98" s="4"/>
      <c r="E98" s="4"/>
      <c r="F98" s="4"/>
      <c r="G98" s="4"/>
    </row>
    <row r="99" spans="1:7" ht="18" customHeight="1" x14ac:dyDescent="0.2">
      <c r="A99" s="4"/>
      <c r="B99" s="4"/>
      <c r="C99" s="4"/>
      <c r="D99" s="4"/>
      <c r="E99" s="4"/>
      <c r="F99" s="4"/>
      <c r="G99" s="4"/>
    </row>
    <row r="100" spans="1:7" ht="18" customHeight="1" x14ac:dyDescent="0.2">
      <c r="A100" s="4"/>
      <c r="B100" s="4"/>
      <c r="C100" s="4"/>
      <c r="D100" s="4"/>
      <c r="E100" s="4"/>
      <c r="F100" s="4"/>
      <c r="G100" s="4"/>
    </row>
    <row r="101" spans="1:7" ht="18" customHeight="1" x14ac:dyDescent="0.2">
      <c r="A101" s="4"/>
      <c r="B101" s="4"/>
      <c r="C101" s="4"/>
      <c r="D101" s="4"/>
      <c r="E101" s="4"/>
      <c r="F101" s="4"/>
      <c r="G101" s="4"/>
    </row>
    <row r="102" spans="1:7" ht="18" customHeight="1" x14ac:dyDescent="0.2">
      <c r="A102" s="4"/>
      <c r="B102" s="4"/>
      <c r="C102" s="4"/>
      <c r="D102" s="4"/>
      <c r="E102" s="4"/>
      <c r="F102" s="4"/>
      <c r="G102" s="4"/>
    </row>
    <row r="103" spans="1:7" ht="18" customHeight="1" x14ac:dyDescent="0.2">
      <c r="A103" s="4"/>
      <c r="B103" s="4"/>
      <c r="C103" s="4"/>
      <c r="D103" s="4"/>
      <c r="E103" s="4"/>
      <c r="F103" s="4"/>
      <c r="G103" s="4"/>
    </row>
    <row r="104" spans="1:7" ht="18" customHeight="1" x14ac:dyDescent="0.2">
      <c r="A104" s="4"/>
      <c r="B104" s="4"/>
      <c r="C104" s="4"/>
      <c r="D104" s="4"/>
      <c r="E104" s="4"/>
      <c r="F104" s="4"/>
      <c r="G104" s="4"/>
    </row>
    <row r="105" spans="1:7" ht="18" customHeight="1" x14ac:dyDescent="0.2">
      <c r="A105" s="4"/>
      <c r="B105" s="4"/>
      <c r="C105" s="4"/>
      <c r="D105" s="4"/>
      <c r="E105" s="4"/>
      <c r="F105" s="4"/>
      <c r="G105" s="4"/>
    </row>
    <row r="106" spans="1:7" ht="18" customHeight="1" x14ac:dyDescent="0.2">
      <c r="A106" s="4"/>
      <c r="B106" s="4"/>
      <c r="C106" s="4"/>
      <c r="D106" s="4"/>
      <c r="E106" s="4"/>
      <c r="F106" s="4"/>
      <c r="G106" s="4"/>
    </row>
    <row r="107" spans="1:7" ht="18" customHeight="1" x14ac:dyDescent="0.2">
      <c r="A107" s="4"/>
      <c r="B107" s="4"/>
      <c r="C107" s="4"/>
      <c r="D107" s="4"/>
      <c r="E107" s="4"/>
      <c r="F107" s="4"/>
      <c r="G107" s="4"/>
    </row>
    <row r="108" spans="1:7" ht="18" customHeight="1" x14ac:dyDescent="0.2">
      <c r="A108" s="4"/>
      <c r="B108" s="4"/>
      <c r="C108" s="4"/>
      <c r="D108" s="4"/>
      <c r="E108" s="4"/>
      <c r="F108" s="4"/>
      <c r="G108" s="4"/>
    </row>
    <row r="109" spans="1:7" ht="18" customHeight="1" x14ac:dyDescent="0.2">
      <c r="A109" s="4"/>
      <c r="B109" s="4"/>
      <c r="C109" s="4"/>
      <c r="D109" s="4"/>
      <c r="E109" s="4"/>
      <c r="F109" s="4"/>
      <c r="G109" s="4"/>
    </row>
    <row r="110" spans="1:7" ht="18" customHeight="1" x14ac:dyDescent="0.2">
      <c r="A110" s="4"/>
      <c r="B110" s="4"/>
      <c r="C110" s="4"/>
      <c r="D110" s="4"/>
      <c r="E110" s="4"/>
      <c r="F110" s="4"/>
      <c r="G110" s="4"/>
    </row>
    <row r="111" spans="1:7" ht="18" customHeight="1" x14ac:dyDescent="0.2">
      <c r="A111" s="4"/>
      <c r="B111" s="4"/>
      <c r="C111" s="4"/>
      <c r="D111" s="4"/>
      <c r="E111" s="4"/>
      <c r="F111" s="4"/>
      <c r="G111" s="4"/>
    </row>
    <row r="112" spans="1:7" ht="18" customHeight="1" x14ac:dyDescent="0.2">
      <c r="A112" s="4"/>
      <c r="B112" s="4"/>
      <c r="C112" s="4"/>
      <c r="D112" s="4"/>
      <c r="E112" s="4"/>
      <c r="F112" s="4"/>
      <c r="G112" s="4"/>
    </row>
    <row r="113" spans="1:7" ht="18" customHeight="1" x14ac:dyDescent="0.2">
      <c r="A113" s="4"/>
      <c r="B113" s="4"/>
      <c r="C113" s="4"/>
      <c r="D113" s="4"/>
      <c r="E113" s="4"/>
      <c r="F113" s="4"/>
      <c r="G113" s="4"/>
    </row>
    <row r="114" spans="1:7" ht="18" customHeight="1" x14ac:dyDescent="0.2">
      <c r="A114" s="4"/>
      <c r="B114" s="4"/>
      <c r="C114" s="4"/>
      <c r="D114" s="4"/>
      <c r="E114" s="4"/>
      <c r="F114" s="4"/>
      <c r="G114" s="4"/>
    </row>
    <row r="115" spans="1:7" ht="18" customHeight="1" x14ac:dyDescent="0.2">
      <c r="A115" s="4"/>
      <c r="B115" s="4"/>
      <c r="C115" s="4"/>
      <c r="D115" s="4"/>
      <c r="E115" s="4"/>
      <c r="F115" s="4"/>
      <c r="G115" s="4"/>
    </row>
    <row r="116" spans="1:7" ht="18" customHeight="1" x14ac:dyDescent="0.2">
      <c r="A116" s="4"/>
      <c r="B116" s="4"/>
      <c r="C116" s="4"/>
      <c r="D116" s="4"/>
      <c r="E116" s="4"/>
      <c r="F116" s="4"/>
      <c r="G116" s="4"/>
    </row>
    <row r="117" spans="1:7" ht="18" customHeight="1" x14ac:dyDescent="0.2">
      <c r="A117" s="4"/>
      <c r="B117" s="4"/>
      <c r="C117" s="4"/>
      <c r="D117" s="4"/>
      <c r="E117" s="4"/>
      <c r="F117" s="4"/>
      <c r="G117" s="4"/>
    </row>
    <row r="118" spans="1:7" ht="18" customHeight="1" x14ac:dyDescent="0.2">
      <c r="A118" s="4"/>
      <c r="B118" s="4"/>
      <c r="C118" s="4"/>
      <c r="D118" s="4"/>
      <c r="E118" s="4"/>
      <c r="F118" s="4"/>
      <c r="G118" s="4"/>
    </row>
    <row r="119" spans="1:7" ht="18" customHeight="1" x14ac:dyDescent="0.2">
      <c r="A119" s="4"/>
      <c r="B119" s="4"/>
      <c r="C119" s="4"/>
      <c r="D119" s="4"/>
      <c r="E119" s="4"/>
      <c r="F119" s="4"/>
      <c r="G119" s="4"/>
    </row>
    <row r="120" spans="1:7" ht="18" customHeight="1" x14ac:dyDescent="0.2">
      <c r="A120" s="4"/>
      <c r="B120" s="4"/>
      <c r="C120" s="4"/>
      <c r="D120" s="4"/>
      <c r="E120" s="4"/>
      <c r="F120" s="4"/>
      <c r="G120" s="4"/>
    </row>
    <row r="121" spans="1:7" ht="18" customHeight="1" x14ac:dyDescent="0.2">
      <c r="A121" s="4"/>
      <c r="B121" s="4"/>
      <c r="C121" s="4"/>
      <c r="D121" s="4"/>
      <c r="E121" s="4"/>
      <c r="F121" s="4"/>
      <c r="G121" s="4"/>
    </row>
    <row r="122" spans="1:7" ht="18" customHeight="1" x14ac:dyDescent="0.2">
      <c r="A122" s="4"/>
      <c r="B122" s="4"/>
      <c r="C122" s="4"/>
      <c r="D122" s="4"/>
      <c r="E122" s="4"/>
      <c r="F122" s="4"/>
      <c r="G122" s="4"/>
    </row>
    <row r="123" spans="1:7" ht="18" customHeight="1" x14ac:dyDescent="0.2">
      <c r="A123" s="4"/>
      <c r="B123" s="4"/>
      <c r="C123" s="4"/>
      <c r="D123" s="4"/>
      <c r="E123" s="4"/>
      <c r="F123" s="4"/>
      <c r="G123" s="4"/>
    </row>
    <row r="124" spans="1:7" ht="18" customHeight="1" x14ac:dyDescent="0.2">
      <c r="A124" s="4"/>
      <c r="B124" s="4"/>
      <c r="C124" s="4"/>
      <c r="D124" s="4"/>
      <c r="E124" s="4"/>
      <c r="F124" s="4"/>
      <c r="G124" s="4"/>
    </row>
    <row r="125" spans="1:7" ht="18" customHeight="1" x14ac:dyDescent="0.2">
      <c r="A125" s="4"/>
      <c r="B125" s="4"/>
      <c r="C125" s="4"/>
      <c r="D125" s="4"/>
      <c r="E125" s="4"/>
      <c r="F125" s="4"/>
      <c r="G125" s="4"/>
    </row>
    <row r="126" spans="1:7" ht="18" customHeight="1" x14ac:dyDescent="0.2">
      <c r="A126" s="4"/>
      <c r="B126" s="4"/>
      <c r="C126" s="4"/>
      <c r="D126" s="4"/>
      <c r="E126" s="4"/>
      <c r="F126" s="4"/>
      <c r="G126" s="4"/>
    </row>
    <row r="127" spans="1:7" ht="18" customHeight="1" x14ac:dyDescent="0.2">
      <c r="A127" s="4"/>
      <c r="B127" s="4"/>
      <c r="C127" s="4"/>
      <c r="D127" s="4"/>
      <c r="E127" s="4"/>
      <c r="F127" s="4"/>
      <c r="G127" s="4"/>
    </row>
    <row r="128" spans="1:7" ht="18" customHeight="1" x14ac:dyDescent="0.2">
      <c r="A128" s="4"/>
      <c r="B128" s="4"/>
      <c r="C128" s="4"/>
      <c r="D128" s="4"/>
      <c r="E128" s="4"/>
      <c r="F128" s="4"/>
      <c r="G128" s="4"/>
    </row>
    <row r="129" spans="1:7" ht="18" customHeight="1" x14ac:dyDescent="0.2">
      <c r="A129" s="4"/>
      <c r="B129" s="4"/>
      <c r="C129" s="4"/>
      <c r="D129" s="4"/>
      <c r="E129" s="4"/>
      <c r="F129" s="4"/>
      <c r="G129" s="4"/>
    </row>
    <row r="130" spans="1:7" ht="18" customHeight="1" x14ac:dyDescent="0.2">
      <c r="A130" s="4"/>
      <c r="B130" s="4"/>
      <c r="C130" s="4"/>
      <c r="D130" s="4"/>
      <c r="E130" s="4"/>
      <c r="F130" s="4"/>
      <c r="G130" s="4"/>
    </row>
    <row r="131" spans="1:7" ht="18" customHeight="1" x14ac:dyDescent="0.2">
      <c r="A131" s="4"/>
      <c r="B131" s="4"/>
      <c r="C131" s="4"/>
      <c r="D131" s="4"/>
      <c r="E131" s="4"/>
      <c r="F131" s="4"/>
      <c r="G131" s="4"/>
    </row>
    <row r="132" spans="1:7" ht="18" customHeight="1" x14ac:dyDescent="0.2">
      <c r="A132" s="4"/>
      <c r="B132" s="4"/>
      <c r="C132" s="4"/>
      <c r="D132" s="4"/>
      <c r="E132" s="4"/>
      <c r="F132" s="4"/>
      <c r="G132" s="4"/>
    </row>
    <row r="133" spans="1:7" ht="18" customHeight="1" x14ac:dyDescent="0.2">
      <c r="A133" s="4"/>
      <c r="B133" s="4"/>
      <c r="C133" s="4"/>
      <c r="D133" s="4"/>
      <c r="E133" s="4"/>
      <c r="F133" s="4"/>
      <c r="G133" s="4"/>
    </row>
    <row r="134" spans="1:7" ht="18" customHeight="1" x14ac:dyDescent="0.2">
      <c r="A134" s="4"/>
      <c r="B134" s="4"/>
      <c r="C134" s="4"/>
      <c r="D134" s="4"/>
      <c r="E134" s="4"/>
      <c r="F134" s="4"/>
      <c r="G134" s="4"/>
    </row>
    <row r="135" spans="1:7" ht="18" customHeight="1" x14ac:dyDescent="0.2">
      <c r="A135" s="4"/>
      <c r="B135" s="4"/>
      <c r="C135" s="4"/>
      <c r="D135" s="4"/>
      <c r="E135" s="4"/>
      <c r="F135" s="4"/>
      <c r="G135" s="4"/>
    </row>
    <row r="136" spans="1:7" ht="18" customHeight="1" x14ac:dyDescent="0.2">
      <c r="A136" s="4"/>
      <c r="B136" s="4"/>
      <c r="C136" s="4"/>
      <c r="D136" s="4"/>
      <c r="E136" s="4"/>
      <c r="F136" s="4"/>
      <c r="G136" s="4"/>
    </row>
    <row r="137" spans="1:7" ht="18" customHeight="1" x14ac:dyDescent="0.2">
      <c r="A137" s="4"/>
      <c r="B137" s="4"/>
      <c r="C137" s="4"/>
      <c r="D137" s="4"/>
      <c r="E137" s="4"/>
      <c r="F137" s="4"/>
      <c r="G137" s="4"/>
    </row>
    <row r="138" spans="1:7" ht="18" customHeight="1" x14ac:dyDescent="0.2">
      <c r="A138" s="4"/>
      <c r="B138" s="4"/>
      <c r="C138" s="4"/>
      <c r="D138" s="4"/>
      <c r="E138" s="4"/>
      <c r="F138" s="4"/>
      <c r="G138" s="4"/>
    </row>
    <row r="139" spans="1:7" ht="18" customHeight="1" x14ac:dyDescent="0.2">
      <c r="A139" s="4"/>
      <c r="B139" s="4"/>
      <c r="C139" s="4"/>
      <c r="D139" s="4"/>
      <c r="E139" s="4"/>
      <c r="F139" s="4"/>
      <c r="G139" s="4"/>
    </row>
    <row r="140" spans="1:7" ht="18" customHeight="1" x14ac:dyDescent="0.2">
      <c r="A140" s="4"/>
      <c r="B140" s="4"/>
      <c r="C140" s="4"/>
      <c r="D140" s="4"/>
      <c r="E140" s="4"/>
      <c r="F140" s="4"/>
      <c r="G140" s="4"/>
    </row>
    <row r="141" spans="1:7" ht="18" customHeight="1" x14ac:dyDescent="0.2">
      <c r="A141" s="4"/>
      <c r="B141" s="4"/>
      <c r="C141" s="4"/>
      <c r="D141" s="4"/>
      <c r="E141" s="4"/>
      <c r="F141" s="4"/>
      <c r="G141" s="4"/>
    </row>
    <row r="142" spans="1:7" ht="18" customHeight="1" x14ac:dyDescent="0.2">
      <c r="A142" s="4"/>
      <c r="B142" s="4"/>
      <c r="C142" s="4"/>
      <c r="D142" s="4"/>
      <c r="E142" s="4"/>
      <c r="F142" s="4"/>
      <c r="G142" s="4"/>
    </row>
    <row r="143" spans="1:7" ht="18" customHeight="1" x14ac:dyDescent="0.2">
      <c r="A143" s="4"/>
      <c r="B143" s="4"/>
      <c r="C143" s="4"/>
      <c r="D143" s="4"/>
      <c r="E143" s="4"/>
      <c r="F143" s="4"/>
      <c r="G143" s="4"/>
    </row>
    <row r="144" spans="1:7" ht="18" customHeight="1" x14ac:dyDescent="0.2">
      <c r="A144" s="4"/>
      <c r="B144" s="4"/>
      <c r="C144" s="4"/>
      <c r="D144" s="4"/>
      <c r="E144" s="4"/>
      <c r="F144" s="4"/>
      <c r="G144" s="4"/>
    </row>
    <row r="145" spans="1:7" ht="18" customHeight="1" x14ac:dyDescent="0.2">
      <c r="A145" s="4"/>
      <c r="B145" s="4"/>
      <c r="C145" s="4"/>
      <c r="D145" s="4"/>
      <c r="E145" s="4"/>
      <c r="F145" s="4"/>
      <c r="G145" s="4"/>
    </row>
    <row r="146" spans="1:7" ht="18" customHeight="1" x14ac:dyDescent="0.2">
      <c r="A146" s="4"/>
      <c r="B146" s="4"/>
      <c r="C146" s="4"/>
      <c r="D146" s="4"/>
      <c r="E146" s="4"/>
      <c r="F146" s="4"/>
      <c r="G146" s="4"/>
    </row>
    <row r="147" spans="1:7" ht="18" customHeight="1" x14ac:dyDescent="0.2">
      <c r="A147" s="4"/>
      <c r="B147" s="4"/>
      <c r="C147" s="4"/>
      <c r="D147" s="4"/>
      <c r="E147" s="4"/>
      <c r="F147" s="4"/>
      <c r="G147" s="4"/>
    </row>
    <row r="148" spans="1:7" ht="18" customHeight="1" x14ac:dyDescent="0.2">
      <c r="A148" s="4"/>
      <c r="B148" s="4"/>
      <c r="C148" s="4"/>
      <c r="D148" s="4"/>
      <c r="E148" s="4"/>
      <c r="F148" s="4"/>
      <c r="G148" s="4"/>
    </row>
    <row r="149" spans="1:7" ht="18" customHeight="1" x14ac:dyDescent="0.2">
      <c r="A149" s="4"/>
      <c r="B149" s="4"/>
      <c r="C149" s="4"/>
      <c r="D149" s="4"/>
      <c r="E149" s="4"/>
      <c r="F149" s="4"/>
      <c r="G149" s="4"/>
    </row>
    <row r="150" spans="1:7" ht="18" customHeight="1" x14ac:dyDescent="0.2">
      <c r="A150" s="4"/>
      <c r="B150" s="4"/>
      <c r="C150" s="4"/>
      <c r="D150" s="4"/>
      <c r="E150" s="4"/>
      <c r="F150" s="4"/>
      <c r="G150" s="4"/>
    </row>
    <row r="151" spans="1:7" ht="18" customHeight="1" x14ac:dyDescent="0.2">
      <c r="A151" s="4"/>
      <c r="B151" s="4"/>
      <c r="C151" s="4"/>
      <c r="D151" s="4"/>
      <c r="E151" s="4"/>
      <c r="F151" s="4"/>
      <c r="G151" s="4"/>
    </row>
    <row r="152" spans="1:7" ht="18" customHeight="1" x14ac:dyDescent="0.2">
      <c r="A152" s="4"/>
      <c r="B152" s="4"/>
      <c r="C152" s="4"/>
      <c r="D152" s="4"/>
      <c r="E152" s="4"/>
      <c r="F152" s="4"/>
      <c r="G152" s="4"/>
    </row>
    <row r="153" spans="1:7" ht="18" customHeight="1" x14ac:dyDescent="0.2">
      <c r="A153" s="4"/>
      <c r="B153" s="4"/>
      <c r="C153" s="4"/>
      <c r="D153" s="4"/>
      <c r="E153" s="4"/>
      <c r="F153" s="4"/>
      <c r="G153" s="4"/>
    </row>
    <row r="154" spans="1:7" ht="18" customHeight="1" x14ac:dyDescent="0.2">
      <c r="A154" s="4"/>
      <c r="B154" s="4"/>
      <c r="C154" s="4"/>
      <c r="D154" s="4"/>
      <c r="E154" s="4"/>
      <c r="F154" s="4"/>
      <c r="G154" s="4"/>
    </row>
    <row r="155" spans="1:7" ht="18" customHeight="1" x14ac:dyDescent="0.2">
      <c r="A155" s="4"/>
      <c r="B155" s="4"/>
      <c r="C155" s="4"/>
      <c r="D155" s="4"/>
      <c r="E155" s="4"/>
      <c r="F155" s="4"/>
      <c r="G155" s="4"/>
    </row>
    <row r="156" spans="1:7" ht="18" customHeight="1" x14ac:dyDescent="0.2">
      <c r="A156" s="4"/>
      <c r="B156" s="4"/>
      <c r="C156" s="4"/>
      <c r="D156" s="4"/>
      <c r="E156" s="4"/>
      <c r="F156" s="4"/>
      <c r="G156" s="4"/>
    </row>
    <row r="157" spans="1:7" ht="18" customHeight="1" x14ac:dyDescent="0.2">
      <c r="A157" s="4"/>
      <c r="B157" s="4"/>
      <c r="C157" s="4"/>
      <c r="D157" s="4"/>
      <c r="E157" s="4"/>
      <c r="F157" s="4"/>
      <c r="G157" s="4"/>
    </row>
    <row r="158" spans="1:7" ht="18" customHeight="1" x14ac:dyDescent="0.2">
      <c r="A158" s="4"/>
      <c r="B158" s="4"/>
      <c r="C158" s="4"/>
      <c r="D158" s="4"/>
      <c r="E158" s="4"/>
      <c r="F158" s="4"/>
      <c r="G158" s="4"/>
    </row>
    <row r="159" spans="1:7" ht="18" customHeight="1" x14ac:dyDescent="0.2">
      <c r="A159" s="4"/>
      <c r="B159" s="4"/>
      <c r="C159" s="4"/>
      <c r="D159" s="4"/>
      <c r="E159" s="4"/>
      <c r="F159" s="4"/>
      <c r="G159" s="4"/>
    </row>
    <row r="160" spans="1:7" ht="18" customHeight="1" x14ac:dyDescent="0.2">
      <c r="A160" s="4"/>
      <c r="B160" s="4"/>
      <c r="C160" s="4"/>
      <c r="D160" s="4"/>
      <c r="E160" s="4"/>
      <c r="F160" s="4"/>
      <c r="G160" s="4"/>
    </row>
    <row r="161" spans="1:7" ht="18" customHeight="1" x14ac:dyDescent="0.2">
      <c r="A161" s="4"/>
      <c r="B161" s="4"/>
      <c r="C161" s="4"/>
      <c r="D161" s="4"/>
      <c r="E161" s="4"/>
      <c r="F161" s="4"/>
      <c r="G161" s="4"/>
    </row>
    <row r="162" spans="1:7" ht="18" customHeight="1" x14ac:dyDescent="0.2">
      <c r="A162" s="4"/>
      <c r="B162" s="4"/>
      <c r="C162" s="4"/>
      <c r="D162" s="4"/>
      <c r="E162" s="4"/>
      <c r="F162" s="4"/>
      <c r="G162" s="4"/>
    </row>
    <row r="163" spans="1:7" ht="18" customHeight="1" x14ac:dyDescent="0.2">
      <c r="A163" s="4"/>
      <c r="B163" s="4"/>
      <c r="C163" s="4"/>
      <c r="D163" s="4"/>
      <c r="E163" s="4"/>
      <c r="F163" s="4"/>
      <c r="G163" s="4"/>
    </row>
    <row r="164" spans="1:7" ht="18" customHeight="1" x14ac:dyDescent="0.2">
      <c r="A164" s="4"/>
      <c r="B164" s="4"/>
      <c r="C164" s="4"/>
      <c r="D164" s="4"/>
      <c r="E164" s="4"/>
      <c r="F164" s="4"/>
      <c r="G164" s="4"/>
    </row>
    <row r="165" spans="1:7" ht="18" customHeight="1" x14ac:dyDescent="0.2">
      <c r="A165" s="4"/>
      <c r="B165" s="4"/>
      <c r="C165" s="4"/>
      <c r="D165" s="4"/>
      <c r="E165" s="4"/>
      <c r="F165" s="4"/>
      <c r="G165" s="4"/>
    </row>
    <row r="166" spans="1:7" ht="18" customHeight="1" x14ac:dyDescent="0.2">
      <c r="A166" s="4"/>
      <c r="B166" s="4"/>
      <c r="C166" s="4"/>
      <c r="D166" s="4"/>
      <c r="E166" s="4"/>
      <c r="F166" s="4"/>
      <c r="G166" s="4"/>
    </row>
    <row r="167" spans="1:7" ht="18" customHeight="1" x14ac:dyDescent="0.2">
      <c r="A167" s="4"/>
      <c r="B167" s="4"/>
      <c r="C167" s="4"/>
      <c r="D167" s="4"/>
      <c r="E167" s="4"/>
      <c r="F167" s="4"/>
      <c r="G167" s="4"/>
    </row>
    <row r="168" spans="1:7" ht="18" customHeight="1" x14ac:dyDescent="0.2">
      <c r="A168" s="4"/>
      <c r="B168" s="4"/>
      <c r="C168" s="4"/>
      <c r="D168" s="4"/>
      <c r="E168" s="4"/>
      <c r="F168" s="4"/>
      <c r="G168" s="4"/>
    </row>
    <row r="169" spans="1:7" ht="18" customHeight="1" x14ac:dyDescent="0.2">
      <c r="A169" s="4"/>
      <c r="B169" s="4"/>
      <c r="C169" s="4"/>
      <c r="D169" s="4"/>
      <c r="E169" s="4"/>
      <c r="F169" s="4"/>
      <c r="G169" s="4"/>
    </row>
    <row r="170" spans="1:7" ht="18" customHeight="1" x14ac:dyDescent="0.2">
      <c r="A170" s="4"/>
      <c r="B170" s="4"/>
      <c r="C170" s="4"/>
      <c r="D170" s="4"/>
      <c r="E170" s="4"/>
      <c r="F170" s="4"/>
      <c r="G170" s="4"/>
    </row>
    <row r="171" spans="1:7" ht="18" customHeight="1" x14ac:dyDescent="0.2">
      <c r="A171" s="4"/>
      <c r="B171" s="4"/>
      <c r="C171" s="4"/>
      <c r="D171" s="4"/>
      <c r="E171" s="4"/>
      <c r="F171" s="4"/>
      <c r="G171" s="4"/>
    </row>
    <row r="172" spans="1:7" ht="18" customHeight="1" x14ac:dyDescent="0.2">
      <c r="A172" s="4"/>
      <c r="B172" s="4"/>
      <c r="C172" s="4"/>
      <c r="D172" s="4"/>
      <c r="E172" s="4"/>
      <c r="F172" s="4"/>
      <c r="G172" s="4"/>
    </row>
    <row r="173" spans="1:7" ht="18" customHeight="1" x14ac:dyDescent="0.2">
      <c r="A173" s="4"/>
      <c r="B173" s="4"/>
      <c r="C173" s="4"/>
      <c r="D173" s="4"/>
      <c r="E173" s="4"/>
      <c r="F173" s="4"/>
      <c r="G173" s="4"/>
    </row>
    <row r="174" spans="1:7" ht="18" customHeight="1" x14ac:dyDescent="0.2">
      <c r="A174" s="4"/>
      <c r="B174" s="4"/>
      <c r="C174" s="4"/>
      <c r="D174" s="4"/>
      <c r="E174" s="4"/>
      <c r="F174" s="4"/>
      <c r="G174" s="4"/>
    </row>
    <row r="175" spans="1:7" ht="18" customHeight="1" x14ac:dyDescent="0.2">
      <c r="A175" s="4"/>
      <c r="B175" s="4"/>
      <c r="C175" s="4"/>
      <c r="D175" s="4"/>
      <c r="E175" s="4"/>
      <c r="F175" s="4"/>
      <c r="G175" s="4"/>
    </row>
    <row r="176" spans="1:7" ht="18" customHeight="1" x14ac:dyDescent="0.2">
      <c r="A176" s="4"/>
      <c r="B176" s="4"/>
      <c r="C176" s="4"/>
      <c r="D176" s="4"/>
      <c r="E176" s="4"/>
      <c r="F176" s="4"/>
      <c r="G176" s="4"/>
    </row>
    <row r="177" spans="1:7" ht="18" customHeight="1" x14ac:dyDescent="0.2">
      <c r="A177" s="4"/>
      <c r="B177" s="4"/>
      <c r="C177" s="4"/>
      <c r="D177" s="4"/>
      <c r="E177" s="4"/>
      <c r="F177" s="4"/>
      <c r="G177" s="4"/>
    </row>
    <row r="178" spans="1:7" ht="18" customHeight="1" x14ac:dyDescent="0.2">
      <c r="A178" s="4"/>
      <c r="B178" s="4"/>
      <c r="C178" s="4"/>
      <c r="D178" s="4"/>
      <c r="E178" s="4"/>
      <c r="F178" s="4"/>
      <c r="G178" s="4"/>
    </row>
    <row r="179" spans="1:7" ht="18" customHeight="1" x14ac:dyDescent="0.2">
      <c r="A179" s="4"/>
      <c r="B179" s="4"/>
      <c r="C179" s="4"/>
      <c r="D179" s="4"/>
      <c r="E179" s="4"/>
      <c r="F179" s="4"/>
      <c r="G179" s="4"/>
    </row>
    <row r="180" spans="1:7" ht="18" customHeight="1" x14ac:dyDescent="0.2">
      <c r="A180" s="4"/>
      <c r="B180" s="4"/>
      <c r="C180" s="4"/>
      <c r="D180" s="4"/>
      <c r="E180" s="4"/>
      <c r="F180" s="4"/>
      <c r="G180" s="4"/>
    </row>
    <row r="181" spans="1:7" ht="18" customHeight="1" x14ac:dyDescent="0.2">
      <c r="A181" s="4"/>
      <c r="B181" s="4"/>
      <c r="C181" s="4"/>
      <c r="D181" s="4"/>
      <c r="E181" s="4"/>
      <c r="F181" s="4"/>
      <c r="G181" s="4"/>
    </row>
    <row r="182" spans="1:7" ht="18" customHeight="1" x14ac:dyDescent="0.2">
      <c r="A182" s="4"/>
      <c r="B182" s="4"/>
      <c r="C182" s="4"/>
      <c r="D182" s="4"/>
      <c r="E182" s="4"/>
      <c r="F182" s="4"/>
      <c r="G182" s="4"/>
    </row>
    <row r="183" spans="1:7" ht="18" customHeight="1" x14ac:dyDescent="0.2">
      <c r="A183" s="4"/>
      <c r="B183" s="4"/>
      <c r="C183" s="4"/>
      <c r="D183" s="4"/>
      <c r="E183" s="4"/>
      <c r="F183" s="4"/>
      <c r="G183" s="4"/>
    </row>
    <row r="184" spans="1:7" ht="18" customHeight="1" x14ac:dyDescent="0.2">
      <c r="A184" s="4"/>
      <c r="B184" s="4"/>
      <c r="C184" s="4"/>
      <c r="D184" s="4"/>
      <c r="E184" s="4"/>
      <c r="F184" s="4"/>
      <c r="G184" s="4"/>
    </row>
    <row r="185" spans="1:7" ht="18" customHeight="1" x14ac:dyDescent="0.2">
      <c r="A185" s="4"/>
      <c r="B185" s="4"/>
      <c r="C185" s="4"/>
      <c r="D185" s="4"/>
      <c r="E185" s="4"/>
      <c r="F185" s="4"/>
      <c r="G185" s="4"/>
    </row>
    <row r="186" spans="1:7" ht="18" customHeight="1" x14ac:dyDescent="0.2">
      <c r="A186" s="4"/>
      <c r="B186" s="4"/>
      <c r="C186" s="4"/>
      <c r="D186" s="4"/>
      <c r="E186" s="4"/>
      <c r="F186" s="4"/>
      <c r="G186" s="4"/>
    </row>
    <row r="187" spans="1:7" ht="18" customHeight="1" x14ac:dyDescent="0.2">
      <c r="A187" s="4"/>
      <c r="B187" s="4"/>
      <c r="C187" s="4"/>
      <c r="D187" s="4"/>
      <c r="E187" s="4"/>
      <c r="F187" s="4"/>
      <c r="G187" s="4"/>
    </row>
    <row r="188" spans="1:7" ht="18" customHeight="1" x14ac:dyDescent="0.2">
      <c r="A188" s="4"/>
      <c r="B188" s="4"/>
      <c r="C188" s="4"/>
      <c r="D188" s="4"/>
      <c r="E188" s="4"/>
      <c r="F188" s="4"/>
      <c r="G188" s="4"/>
    </row>
    <row r="189" spans="1:7" ht="18" customHeight="1" x14ac:dyDescent="0.2">
      <c r="A189" s="4"/>
      <c r="B189" s="4"/>
      <c r="C189" s="4"/>
      <c r="D189" s="4"/>
      <c r="E189" s="4"/>
      <c r="F189" s="4"/>
      <c r="G189" s="4"/>
    </row>
    <row r="190" spans="1:7" ht="18" customHeight="1" x14ac:dyDescent="0.2">
      <c r="A190" s="4"/>
      <c r="B190" s="4"/>
      <c r="C190" s="4"/>
      <c r="D190" s="4"/>
      <c r="E190" s="4"/>
      <c r="F190" s="4"/>
      <c r="G190" s="4"/>
    </row>
    <row r="191" spans="1:7" ht="18" customHeight="1" x14ac:dyDescent="0.2">
      <c r="A191" s="4"/>
      <c r="B191" s="4"/>
      <c r="C191" s="4"/>
      <c r="D191" s="4"/>
      <c r="E191" s="4"/>
      <c r="F191" s="4"/>
      <c r="G191" s="4"/>
    </row>
    <row r="192" spans="1:7" ht="18" customHeight="1" x14ac:dyDescent="0.2">
      <c r="A192" s="4"/>
      <c r="B192" s="4"/>
      <c r="C192" s="4"/>
      <c r="D192" s="4"/>
      <c r="E192" s="4"/>
      <c r="F192" s="4"/>
      <c r="G192" s="4"/>
    </row>
    <row r="193" spans="1:7" ht="18" customHeight="1" x14ac:dyDescent="0.2">
      <c r="A193" s="4"/>
      <c r="B193" s="4"/>
      <c r="C193" s="4"/>
      <c r="D193" s="4"/>
      <c r="E193" s="4"/>
      <c r="F193" s="4"/>
      <c r="G193" s="4"/>
    </row>
    <row r="194" spans="1:7" ht="18" customHeight="1" x14ac:dyDescent="0.2">
      <c r="A194" s="4"/>
      <c r="B194" s="4"/>
      <c r="C194" s="4"/>
      <c r="D194" s="4"/>
      <c r="E194" s="4"/>
      <c r="F194" s="4"/>
      <c r="G194" s="4"/>
    </row>
    <row r="195" spans="1:7" ht="18" customHeight="1" x14ac:dyDescent="0.2">
      <c r="A195" s="4"/>
      <c r="B195" s="4"/>
      <c r="C195" s="4"/>
      <c r="D195" s="4"/>
      <c r="E195" s="4"/>
      <c r="F195" s="4"/>
      <c r="G195" s="4"/>
    </row>
    <row r="196" spans="1:7" ht="18" customHeight="1" x14ac:dyDescent="0.2">
      <c r="A196" s="4"/>
      <c r="B196" s="4"/>
      <c r="C196" s="4"/>
      <c r="D196" s="4"/>
      <c r="E196" s="4"/>
      <c r="F196" s="4"/>
      <c r="G196" s="4"/>
    </row>
    <row r="197" spans="1:7" ht="18" customHeight="1" x14ac:dyDescent="0.2">
      <c r="A197" s="4"/>
      <c r="B197" s="4"/>
      <c r="C197" s="4"/>
      <c r="D197" s="4"/>
      <c r="E197" s="4"/>
      <c r="F197" s="4"/>
      <c r="G197" s="4"/>
    </row>
    <row r="198" spans="1:7" ht="18" customHeight="1" x14ac:dyDescent="0.2">
      <c r="A198" s="4"/>
      <c r="B198" s="4"/>
      <c r="C198" s="4"/>
      <c r="D198" s="4"/>
      <c r="E198" s="4"/>
      <c r="F198" s="4"/>
      <c r="G198" s="4"/>
    </row>
    <row r="199" spans="1:7" ht="18" customHeight="1" x14ac:dyDescent="0.2">
      <c r="A199" s="4"/>
      <c r="B199" s="4"/>
      <c r="C199" s="4"/>
      <c r="D199" s="4"/>
      <c r="E199" s="4"/>
      <c r="F199" s="4"/>
      <c r="G199" s="4"/>
    </row>
    <row r="200" spans="1:7" ht="18" customHeight="1" x14ac:dyDescent="0.2">
      <c r="A200" s="4"/>
      <c r="B200" s="4"/>
      <c r="C200" s="4"/>
      <c r="D200" s="4"/>
      <c r="E200" s="4"/>
      <c r="F200" s="4"/>
      <c r="G200" s="4"/>
    </row>
  </sheetData>
  <mergeCells count="2">
    <mergeCell ref="A2:G2"/>
    <mergeCell ref="A1:G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00"/>
  <sheetViews>
    <sheetView workbookViewId="0">
      <pane ySplit="3" topLeftCell="A4" activePane="bottomLeft" state="frozen"/>
      <selection pane="bottomLeft"/>
    </sheetView>
  </sheetViews>
  <sheetFormatPr defaultRowHeight="15" x14ac:dyDescent="0.2"/>
  <cols>
    <col min="1" max="1" width="11.97265625" customWidth="1"/>
    <col min="2" max="3" width="18.0234375" customWidth="1"/>
    <col min="4" max="4" width="13.98828125" customWidth="1"/>
  </cols>
  <sheetData>
    <row r="1" spans="1:4" ht="27.95" customHeight="1" x14ac:dyDescent="0.2">
      <c r="A1" s="11" t="s">
        <v>85</v>
      </c>
      <c r="B1" s="8"/>
      <c r="C1" s="8"/>
      <c r="D1" s="8"/>
    </row>
    <row r="2" spans="1:4" ht="33.950000000000003" customHeight="1" x14ac:dyDescent="0.2">
      <c r="A2" s="12" t="s">
        <v>86</v>
      </c>
      <c r="B2" s="8"/>
      <c r="C2" s="8"/>
      <c r="D2" s="8"/>
    </row>
    <row r="3" spans="1:4" ht="21.95" customHeight="1" x14ac:dyDescent="0.2">
      <c r="A3" s="1" t="s">
        <v>33</v>
      </c>
      <c r="B3" s="1" t="s">
        <v>87</v>
      </c>
      <c r="C3" s="1" t="s">
        <v>88</v>
      </c>
      <c r="D3" s="1" t="s">
        <v>34</v>
      </c>
    </row>
    <row r="4" spans="1:4" ht="18" customHeight="1" x14ac:dyDescent="0.2">
      <c r="A4" s="4" t="s">
        <v>40</v>
      </c>
      <c r="B4" s="4">
        <v>27674</v>
      </c>
      <c r="C4" s="4">
        <v>18893</v>
      </c>
      <c r="D4" s="6">
        <f>B4-C4</f>
        <v>8781</v>
      </c>
    </row>
    <row r="5" spans="1:4" ht="18" customHeight="1" x14ac:dyDescent="0.2">
      <c r="A5" s="4" t="s">
        <v>41</v>
      </c>
      <c r="B5" s="4">
        <v>27596</v>
      </c>
      <c r="C5" s="4">
        <v>18197</v>
      </c>
      <c r="D5" s="6">
        <f>B5-C5</f>
        <v>9399</v>
      </c>
    </row>
    <row r="6" spans="1:4" ht="18" customHeight="1" x14ac:dyDescent="0.2">
      <c r="A6" s="4" t="s">
        <v>42</v>
      </c>
      <c r="B6" s="4">
        <v>28223</v>
      </c>
      <c r="C6" s="4">
        <v>19434</v>
      </c>
      <c r="D6" s="6">
        <f>B6-C6</f>
        <v>8789</v>
      </c>
    </row>
    <row r="7" spans="1:4" ht="18" customHeight="1" x14ac:dyDescent="0.2">
      <c r="A7" s="4" t="s">
        <v>43</v>
      </c>
      <c r="B7" s="4">
        <v>28735</v>
      </c>
      <c r="C7" s="4">
        <v>18627</v>
      </c>
      <c r="D7" s="6">
        <f>B7-C7</f>
        <v>10108</v>
      </c>
    </row>
    <row r="8" spans="1:4" ht="18" customHeight="1" x14ac:dyDescent="0.2">
      <c r="A8" s="4" t="s">
        <v>44</v>
      </c>
      <c r="B8" s="4">
        <v>29086</v>
      </c>
      <c r="C8" s="4">
        <v>18675</v>
      </c>
      <c r="D8" s="6">
        <f>B8-C8</f>
        <v>10411</v>
      </c>
    </row>
    <row r="9" spans="1:4" ht="18" customHeight="1" x14ac:dyDescent="0.2">
      <c r="A9" s="4" t="s">
        <v>45</v>
      </c>
      <c r="B9" s="4">
        <v>28295</v>
      </c>
      <c r="C9" s="4">
        <v>19383</v>
      </c>
      <c r="D9" s="6">
        <f>B9-C9</f>
        <v>8912</v>
      </c>
    </row>
    <row r="10" spans="1:4" ht="18" customHeight="1" x14ac:dyDescent="0.2">
      <c r="A10" s="4" t="s">
        <v>46</v>
      </c>
      <c r="B10" s="4">
        <v>28671</v>
      </c>
      <c r="C10" s="4">
        <v>19480</v>
      </c>
      <c r="D10" s="6">
        <f>B10-C10</f>
        <v>9191</v>
      </c>
    </row>
    <row r="11" spans="1:4" ht="18" customHeight="1" x14ac:dyDescent="0.2">
      <c r="A11" s="4" t="s">
        <v>47</v>
      </c>
      <c r="B11" s="4">
        <v>28576</v>
      </c>
      <c r="C11" s="4">
        <v>19639</v>
      </c>
      <c r="D11" s="6">
        <f>B11-C11</f>
        <v>8937</v>
      </c>
    </row>
    <row r="12" spans="1:4" ht="18" customHeight="1" x14ac:dyDescent="0.2">
      <c r="A12" s="4" t="s">
        <v>48</v>
      </c>
      <c r="B12" s="4">
        <v>29363</v>
      </c>
      <c r="C12" s="4">
        <v>18755</v>
      </c>
      <c r="D12" s="6">
        <f>B12-C12</f>
        <v>10608</v>
      </c>
    </row>
    <row r="13" spans="1:4" ht="18" customHeight="1" x14ac:dyDescent="0.2">
      <c r="A13" s="4" t="s">
        <v>49</v>
      </c>
      <c r="B13" s="4">
        <v>29951</v>
      </c>
      <c r="C13" s="4">
        <v>19776</v>
      </c>
      <c r="D13" s="6">
        <f>B13-C13</f>
        <v>10175</v>
      </c>
    </row>
    <row r="14" spans="1:4" ht="18" customHeight="1" x14ac:dyDescent="0.2">
      <c r="A14" s="4"/>
      <c r="B14" s="4"/>
      <c r="C14" s="4"/>
      <c r="D14" s="4"/>
    </row>
    <row r="15" spans="1:4" ht="18" customHeight="1" x14ac:dyDescent="0.2">
      <c r="A15" s="4"/>
      <c r="B15" s="4"/>
      <c r="C15" s="4"/>
      <c r="D15" s="4"/>
    </row>
    <row r="16" spans="1:4" ht="18" customHeight="1" x14ac:dyDescent="0.2">
      <c r="A16" s="4"/>
      <c r="B16" s="4"/>
      <c r="C16" s="4"/>
      <c r="D16" s="4"/>
    </row>
    <row r="17" spans="1:4" ht="18" customHeight="1" x14ac:dyDescent="0.2">
      <c r="A17" s="4"/>
      <c r="B17" s="4"/>
      <c r="C17" s="4"/>
      <c r="D17" s="4"/>
    </row>
    <row r="18" spans="1:4" ht="18" customHeight="1" x14ac:dyDescent="0.2">
      <c r="A18" s="4"/>
      <c r="B18" s="4"/>
      <c r="C18" s="4"/>
      <c r="D18" s="4"/>
    </row>
    <row r="19" spans="1:4" ht="18" customHeight="1" x14ac:dyDescent="0.2">
      <c r="A19" s="4"/>
      <c r="B19" s="4"/>
      <c r="C19" s="4"/>
      <c r="D19" s="4"/>
    </row>
    <row r="20" spans="1:4" ht="18" customHeight="1" x14ac:dyDescent="0.2">
      <c r="A20" s="4"/>
      <c r="B20" s="4"/>
      <c r="C20" s="4"/>
      <c r="D20" s="4"/>
    </row>
    <row r="21" spans="1:4" ht="18" customHeight="1" x14ac:dyDescent="0.2">
      <c r="A21" s="4"/>
      <c r="B21" s="4"/>
      <c r="C21" s="4"/>
      <c r="D21" s="4"/>
    </row>
    <row r="22" spans="1:4" ht="18" customHeight="1" x14ac:dyDescent="0.2">
      <c r="A22" s="4"/>
      <c r="B22" s="4"/>
      <c r="C22" s="4"/>
      <c r="D22" s="4"/>
    </row>
    <row r="23" spans="1:4" ht="18" customHeight="1" x14ac:dyDescent="0.2">
      <c r="A23" s="4"/>
      <c r="B23" s="4"/>
      <c r="C23" s="4"/>
      <c r="D23" s="4"/>
    </row>
    <row r="24" spans="1:4" ht="18" customHeight="1" x14ac:dyDescent="0.2">
      <c r="A24" s="4"/>
      <c r="B24" s="4"/>
      <c r="C24" s="4"/>
      <c r="D24" s="4"/>
    </row>
    <row r="25" spans="1:4" ht="18" customHeight="1" x14ac:dyDescent="0.2">
      <c r="A25" s="4"/>
      <c r="B25" s="4"/>
      <c r="C25" s="4"/>
      <c r="D25" s="4"/>
    </row>
    <row r="26" spans="1:4" ht="18" customHeight="1" x14ac:dyDescent="0.2">
      <c r="A26" s="4"/>
      <c r="B26" s="4"/>
      <c r="C26" s="4"/>
      <c r="D26" s="4"/>
    </row>
    <row r="27" spans="1:4" ht="18" customHeight="1" x14ac:dyDescent="0.2">
      <c r="A27" s="4"/>
      <c r="B27" s="4"/>
      <c r="C27" s="4"/>
      <c r="D27" s="4"/>
    </row>
    <row r="28" spans="1:4" ht="18" customHeight="1" x14ac:dyDescent="0.2">
      <c r="A28" s="4"/>
      <c r="B28" s="4"/>
      <c r="C28" s="4"/>
      <c r="D28" s="4"/>
    </row>
    <row r="29" spans="1:4" ht="18" customHeight="1" x14ac:dyDescent="0.2">
      <c r="A29" s="4"/>
      <c r="B29" s="4"/>
      <c r="C29" s="4"/>
      <c r="D29" s="4"/>
    </row>
    <row r="30" spans="1:4" ht="18" customHeight="1" x14ac:dyDescent="0.2">
      <c r="A30" s="4"/>
      <c r="B30" s="4"/>
      <c r="C30" s="4"/>
      <c r="D30" s="4"/>
    </row>
    <row r="31" spans="1:4" ht="18" customHeight="1" x14ac:dyDescent="0.2">
      <c r="A31" s="4"/>
      <c r="B31" s="4"/>
      <c r="C31" s="4"/>
      <c r="D31" s="4"/>
    </row>
    <row r="32" spans="1:4" ht="18" customHeight="1" x14ac:dyDescent="0.2">
      <c r="A32" s="4"/>
      <c r="B32" s="4"/>
      <c r="C32" s="4"/>
      <c r="D32" s="4"/>
    </row>
    <row r="33" spans="1:4" ht="18" customHeight="1" x14ac:dyDescent="0.2">
      <c r="A33" s="4"/>
      <c r="B33" s="4"/>
      <c r="C33" s="4"/>
      <c r="D33" s="4"/>
    </row>
    <row r="34" spans="1:4" ht="18" customHeight="1" x14ac:dyDescent="0.2">
      <c r="A34" s="4"/>
      <c r="B34" s="4"/>
      <c r="C34" s="4"/>
      <c r="D34" s="4"/>
    </row>
    <row r="35" spans="1:4" ht="18" customHeight="1" x14ac:dyDescent="0.2">
      <c r="A35" s="4"/>
      <c r="B35" s="4"/>
      <c r="C35" s="4"/>
      <c r="D35" s="4"/>
    </row>
    <row r="36" spans="1:4" ht="18" customHeight="1" x14ac:dyDescent="0.2">
      <c r="A36" s="4"/>
      <c r="B36" s="4"/>
      <c r="C36" s="4"/>
      <c r="D36" s="4"/>
    </row>
    <row r="37" spans="1:4" ht="18" customHeight="1" x14ac:dyDescent="0.2">
      <c r="A37" s="4"/>
      <c r="B37" s="4"/>
      <c r="C37" s="4"/>
      <c r="D37" s="4"/>
    </row>
    <row r="38" spans="1:4" ht="18" customHeight="1" x14ac:dyDescent="0.2">
      <c r="A38" s="4"/>
      <c r="B38" s="4"/>
      <c r="C38" s="4"/>
      <c r="D38" s="4"/>
    </row>
    <row r="39" spans="1:4" ht="18" customHeight="1" x14ac:dyDescent="0.2">
      <c r="A39" s="4"/>
      <c r="B39" s="4"/>
      <c r="C39" s="4"/>
      <c r="D39" s="4"/>
    </row>
    <row r="40" spans="1:4" ht="18" customHeight="1" x14ac:dyDescent="0.2">
      <c r="A40" s="4"/>
      <c r="B40" s="4"/>
      <c r="C40" s="4"/>
      <c r="D40" s="4"/>
    </row>
    <row r="41" spans="1:4" ht="18" customHeight="1" x14ac:dyDescent="0.2">
      <c r="A41" s="4"/>
      <c r="B41" s="4"/>
      <c r="C41" s="4"/>
      <c r="D41" s="4"/>
    </row>
    <row r="42" spans="1:4" ht="18" customHeight="1" x14ac:dyDescent="0.2">
      <c r="A42" s="4"/>
      <c r="B42" s="4"/>
      <c r="C42" s="4"/>
      <c r="D42" s="4"/>
    </row>
    <row r="43" spans="1:4" ht="18" customHeight="1" x14ac:dyDescent="0.2">
      <c r="A43" s="4"/>
      <c r="B43" s="4"/>
      <c r="C43" s="4"/>
      <c r="D43" s="4"/>
    </row>
    <row r="44" spans="1:4" ht="18" customHeight="1" x14ac:dyDescent="0.2">
      <c r="A44" s="4"/>
      <c r="B44" s="4"/>
      <c r="C44" s="4"/>
      <c r="D44" s="4"/>
    </row>
    <row r="45" spans="1:4" ht="18" customHeight="1" x14ac:dyDescent="0.2">
      <c r="A45" s="4"/>
      <c r="B45" s="4"/>
      <c r="C45" s="4"/>
      <c r="D45" s="4"/>
    </row>
    <row r="46" spans="1:4" ht="18" customHeight="1" x14ac:dyDescent="0.2">
      <c r="A46" s="4"/>
      <c r="B46" s="4"/>
      <c r="C46" s="4"/>
      <c r="D46" s="4"/>
    </row>
    <row r="47" spans="1:4" ht="18" customHeight="1" x14ac:dyDescent="0.2">
      <c r="A47" s="4"/>
      <c r="B47" s="4"/>
      <c r="C47" s="4"/>
      <c r="D47" s="4"/>
    </row>
    <row r="48" spans="1:4" ht="18" customHeight="1" x14ac:dyDescent="0.2">
      <c r="A48" s="4"/>
      <c r="B48" s="4"/>
      <c r="C48" s="4"/>
      <c r="D48" s="4"/>
    </row>
    <row r="49" spans="1:4" ht="18" customHeight="1" x14ac:dyDescent="0.2">
      <c r="A49" s="4"/>
      <c r="B49" s="4"/>
      <c r="C49" s="4"/>
      <c r="D49" s="4"/>
    </row>
    <row r="50" spans="1:4" ht="18" customHeight="1" x14ac:dyDescent="0.2">
      <c r="A50" s="4"/>
      <c r="B50" s="4"/>
      <c r="C50" s="4"/>
      <c r="D50" s="4"/>
    </row>
    <row r="51" spans="1:4" ht="18" customHeight="1" x14ac:dyDescent="0.2">
      <c r="A51" s="4"/>
      <c r="B51" s="4"/>
      <c r="C51" s="4"/>
      <c r="D51" s="4"/>
    </row>
    <row r="52" spans="1:4" ht="18" customHeight="1" x14ac:dyDescent="0.2">
      <c r="A52" s="4"/>
      <c r="B52" s="4"/>
      <c r="C52" s="4"/>
      <c r="D52" s="4"/>
    </row>
    <row r="53" spans="1:4" ht="18" customHeight="1" x14ac:dyDescent="0.2">
      <c r="A53" s="4"/>
      <c r="B53" s="4"/>
      <c r="C53" s="4"/>
      <c r="D53" s="4"/>
    </row>
    <row r="54" spans="1:4" ht="18" customHeight="1" x14ac:dyDescent="0.2">
      <c r="A54" s="4"/>
      <c r="B54" s="4"/>
      <c r="C54" s="4"/>
      <c r="D54" s="4"/>
    </row>
    <row r="55" spans="1:4" ht="18" customHeight="1" x14ac:dyDescent="0.2">
      <c r="A55" s="4"/>
      <c r="B55" s="4"/>
      <c r="C55" s="4"/>
      <c r="D55" s="4"/>
    </row>
    <row r="56" spans="1:4" ht="18" customHeight="1" x14ac:dyDescent="0.2">
      <c r="A56" s="4"/>
      <c r="B56" s="4"/>
      <c r="C56" s="4"/>
      <c r="D56" s="4"/>
    </row>
    <row r="57" spans="1:4" ht="18" customHeight="1" x14ac:dyDescent="0.2">
      <c r="A57" s="4"/>
      <c r="B57" s="4"/>
      <c r="C57" s="4"/>
      <c r="D57" s="4"/>
    </row>
    <row r="58" spans="1:4" ht="18" customHeight="1" x14ac:dyDescent="0.2">
      <c r="A58" s="4"/>
      <c r="B58" s="4"/>
      <c r="C58" s="4"/>
      <c r="D58" s="4"/>
    </row>
    <row r="59" spans="1:4" ht="18" customHeight="1" x14ac:dyDescent="0.2">
      <c r="A59" s="4"/>
      <c r="B59" s="4"/>
      <c r="C59" s="4"/>
      <c r="D59" s="4"/>
    </row>
    <row r="60" spans="1:4" ht="18" customHeight="1" x14ac:dyDescent="0.2">
      <c r="A60" s="4"/>
      <c r="B60" s="4"/>
      <c r="C60" s="4"/>
      <c r="D60" s="4"/>
    </row>
    <row r="61" spans="1:4" ht="18" customHeight="1" x14ac:dyDescent="0.2">
      <c r="A61" s="4"/>
      <c r="B61" s="4"/>
      <c r="C61" s="4"/>
      <c r="D61" s="4"/>
    </row>
    <row r="62" spans="1:4" ht="18" customHeight="1" x14ac:dyDescent="0.2">
      <c r="A62" s="4"/>
      <c r="B62" s="4"/>
      <c r="C62" s="4"/>
      <c r="D62" s="4"/>
    </row>
    <row r="63" spans="1:4" ht="18" customHeight="1" x14ac:dyDescent="0.2">
      <c r="A63" s="4"/>
      <c r="B63" s="4"/>
      <c r="C63" s="4"/>
      <c r="D63" s="4"/>
    </row>
    <row r="64" spans="1:4" ht="18" customHeight="1" x14ac:dyDescent="0.2">
      <c r="A64" s="4"/>
      <c r="B64" s="4"/>
      <c r="C64" s="4"/>
      <c r="D64" s="4"/>
    </row>
    <row r="65" spans="1:4" ht="18" customHeight="1" x14ac:dyDescent="0.2">
      <c r="A65" s="4"/>
      <c r="B65" s="4"/>
      <c r="C65" s="4"/>
      <c r="D65" s="4"/>
    </row>
    <row r="66" spans="1:4" ht="18" customHeight="1" x14ac:dyDescent="0.2">
      <c r="A66" s="4"/>
      <c r="B66" s="4"/>
      <c r="C66" s="4"/>
      <c r="D66" s="4"/>
    </row>
    <row r="67" spans="1:4" ht="18" customHeight="1" x14ac:dyDescent="0.2">
      <c r="A67" s="4"/>
      <c r="B67" s="4"/>
      <c r="C67" s="4"/>
      <c r="D67" s="4"/>
    </row>
    <row r="68" spans="1:4" ht="18" customHeight="1" x14ac:dyDescent="0.2">
      <c r="A68" s="4"/>
      <c r="B68" s="4"/>
      <c r="C68" s="4"/>
      <c r="D68" s="4"/>
    </row>
    <row r="69" spans="1:4" ht="18" customHeight="1" x14ac:dyDescent="0.2">
      <c r="A69" s="4"/>
      <c r="B69" s="4"/>
      <c r="C69" s="4"/>
      <c r="D69" s="4"/>
    </row>
    <row r="70" spans="1:4" ht="18" customHeight="1" x14ac:dyDescent="0.2">
      <c r="A70" s="4"/>
      <c r="B70" s="4"/>
      <c r="C70" s="4"/>
      <c r="D70" s="4"/>
    </row>
    <row r="71" spans="1:4" ht="18" customHeight="1" x14ac:dyDescent="0.2">
      <c r="A71" s="4"/>
      <c r="B71" s="4"/>
      <c r="C71" s="4"/>
      <c r="D71" s="4"/>
    </row>
    <row r="72" spans="1:4" ht="18" customHeight="1" x14ac:dyDescent="0.2">
      <c r="A72" s="4"/>
      <c r="B72" s="4"/>
      <c r="C72" s="4"/>
      <c r="D72" s="4"/>
    </row>
    <row r="73" spans="1:4" ht="18" customHeight="1" x14ac:dyDescent="0.2">
      <c r="A73" s="4"/>
      <c r="B73" s="4"/>
      <c r="C73" s="4"/>
      <c r="D73" s="4"/>
    </row>
    <row r="74" spans="1:4" ht="18" customHeight="1" x14ac:dyDescent="0.2">
      <c r="A74" s="4"/>
      <c r="B74" s="4"/>
      <c r="C74" s="4"/>
      <c r="D74" s="4"/>
    </row>
    <row r="75" spans="1:4" ht="18" customHeight="1" x14ac:dyDescent="0.2">
      <c r="A75" s="4"/>
      <c r="B75" s="4"/>
      <c r="C75" s="4"/>
      <c r="D75" s="4"/>
    </row>
    <row r="76" spans="1:4" ht="18" customHeight="1" x14ac:dyDescent="0.2">
      <c r="A76" s="4"/>
      <c r="B76" s="4"/>
      <c r="C76" s="4"/>
      <c r="D76" s="4"/>
    </row>
    <row r="77" spans="1:4" ht="18" customHeight="1" x14ac:dyDescent="0.2">
      <c r="A77" s="4"/>
      <c r="B77" s="4"/>
      <c r="C77" s="4"/>
      <c r="D77" s="4"/>
    </row>
    <row r="78" spans="1:4" ht="18" customHeight="1" x14ac:dyDescent="0.2">
      <c r="A78" s="4"/>
      <c r="B78" s="4"/>
      <c r="C78" s="4"/>
      <c r="D78" s="4"/>
    </row>
    <row r="79" spans="1:4" ht="18" customHeight="1" x14ac:dyDescent="0.2">
      <c r="A79" s="4"/>
      <c r="B79" s="4"/>
      <c r="C79" s="4"/>
      <c r="D79" s="4"/>
    </row>
    <row r="80" spans="1:4" ht="18" customHeight="1" x14ac:dyDescent="0.2">
      <c r="A80" s="4"/>
      <c r="B80" s="4"/>
      <c r="C80" s="4"/>
      <c r="D80" s="4"/>
    </row>
    <row r="81" spans="1:4" ht="18" customHeight="1" x14ac:dyDescent="0.2">
      <c r="A81" s="4"/>
      <c r="B81" s="4"/>
      <c r="C81" s="4"/>
      <c r="D81" s="4"/>
    </row>
    <row r="82" spans="1:4" ht="18" customHeight="1" x14ac:dyDescent="0.2">
      <c r="A82" s="4"/>
      <c r="B82" s="4"/>
      <c r="C82" s="4"/>
      <c r="D82" s="4"/>
    </row>
    <row r="83" spans="1:4" ht="18" customHeight="1" x14ac:dyDescent="0.2">
      <c r="A83" s="4"/>
      <c r="B83" s="4"/>
      <c r="C83" s="4"/>
      <c r="D83" s="4"/>
    </row>
    <row r="84" spans="1:4" ht="18" customHeight="1" x14ac:dyDescent="0.2">
      <c r="A84" s="4"/>
      <c r="B84" s="4"/>
      <c r="C84" s="4"/>
      <c r="D84" s="4"/>
    </row>
    <row r="85" spans="1:4" ht="18" customHeight="1" x14ac:dyDescent="0.2">
      <c r="A85" s="4"/>
      <c r="B85" s="4"/>
      <c r="C85" s="4"/>
      <c r="D85" s="4"/>
    </row>
    <row r="86" spans="1:4" ht="18" customHeight="1" x14ac:dyDescent="0.2">
      <c r="A86" s="4"/>
      <c r="B86" s="4"/>
      <c r="C86" s="4"/>
      <c r="D86" s="4"/>
    </row>
    <row r="87" spans="1:4" ht="18" customHeight="1" x14ac:dyDescent="0.2">
      <c r="A87" s="4"/>
      <c r="B87" s="4"/>
      <c r="C87" s="4"/>
      <c r="D87" s="4"/>
    </row>
    <row r="88" spans="1:4" ht="18" customHeight="1" x14ac:dyDescent="0.2">
      <c r="A88" s="4"/>
      <c r="B88" s="4"/>
      <c r="C88" s="4"/>
      <c r="D88" s="4"/>
    </row>
    <row r="89" spans="1:4" ht="18" customHeight="1" x14ac:dyDescent="0.2">
      <c r="A89" s="4"/>
      <c r="B89" s="4"/>
      <c r="C89" s="4"/>
      <c r="D89" s="4"/>
    </row>
    <row r="90" spans="1:4" ht="18" customHeight="1" x14ac:dyDescent="0.2">
      <c r="A90" s="4"/>
      <c r="B90" s="4"/>
      <c r="C90" s="4"/>
      <c r="D90" s="4"/>
    </row>
    <row r="91" spans="1:4" ht="18" customHeight="1" x14ac:dyDescent="0.2">
      <c r="A91" s="4"/>
      <c r="B91" s="4"/>
      <c r="C91" s="4"/>
      <c r="D91" s="4"/>
    </row>
    <row r="92" spans="1:4" ht="18" customHeight="1" x14ac:dyDescent="0.2">
      <c r="A92" s="4"/>
      <c r="B92" s="4"/>
      <c r="C92" s="4"/>
      <c r="D92" s="4"/>
    </row>
    <row r="93" spans="1:4" ht="18" customHeight="1" x14ac:dyDescent="0.2">
      <c r="A93" s="4"/>
      <c r="B93" s="4"/>
      <c r="C93" s="4"/>
      <c r="D93" s="4"/>
    </row>
    <row r="94" spans="1:4" ht="18" customHeight="1" x14ac:dyDescent="0.2">
      <c r="A94" s="4"/>
      <c r="B94" s="4"/>
      <c r="C94" s="4"/>
      <c r="D94" s="4"/>
    </row>
    <row r="95" spans="1:4" ht="18" customHeight="1" x14ac:dyDescent="0.2">
      <c r="A95" s="4"/>
      <c r="B95" s="4"/>
      <c r="C95" s="4"/>
      <c r="D95" s="4"/>
    </row>
    <row r="96" spans="1:4" ht="18" customHeight="1" x14ac:dyDescent="0.2">
      <c r="A96" s="4"/>
      <c r="B96" s="4"/>
      <c r="C96" s="4"/>
      <c r="D96" s="4"/>
    </row>
    <row r="97" spans="1:4" ht="18" customHeight="1" x14ac:dyDescent="0.2">
      <c r="A97" s="4"/>
      <c r="B97" s="4"/>
      <c r="C97" s="4"/>
      <c r="D97" s="4"/>
    </row>
    <row r="98" spans="1:4" ht="18" customHeight="1" x14ac:dyDescent="0.2">
      <c r="A98" s="4"/>
      <c r="B98" s="4"/>
      <c r="C98" s="4"/>
      <c r="D98" s="4"/>
    </row>
    <row r="99" spans="1:4" ht="18" customHeight="1" x14ac:dyDescent="0.2">
      <c r="A99" s="4"/>
      <c r="B99" s="4"/>
      <c r="C99" s="4"/>
      <c r="D99" s="4"/>
    </row>
    <row r="100" spans="1:4" ht="18" customHeight="1" x14ac:dyDescent="0.2">
      <c r="A100" s="4"/>
      <c r="B100" s="4"/>
      <c r="C100" s="4"/>
      <c r="D100" s="4"/>
    </row>
    <row r="101" spans="1:4" ht="18" customHeight="1" x14ac:dyDescent="0.2">
      <c r="A101" s="4"/>
      <c r="B101" s="4"/>
      <c r="C101" s="4"/>
      <c r="D101" s="4"/>
    </row>
    <row r="102" spans="1:4" ht="18" customHeight="1" x14ac:dyDescent="0.2">
      <c r="A102" s="4"/>
      <c r="B102" s="4"/>
      <c r="C102" s="4"/>
      <c r="D102" s="4"/>
    </row>
    <row r="103" spans="1:4" ht="18" customHeight="1" x14ac:dyDescent="0.2">
      <c r="A103" s="4"/>
      <c r="B103" s="4"/>
      <c r="C103" s="4"/>
      <c r="D103" s="4"/>
    </row>
    <row r="104" spans="1:4" ht="18" customHeight="1" x14ac:dyDescent="0.2">
      <c r="A104" s="4"/>
      <c r="B104" s="4"/>
      <c r="C104" s="4"/>
      <c r="D104" s="4"/>
    </row>
    <row r="105" spans="1:4" ht="18" customHeight="1" x14ac:dyDescent="0.2">
      <c r="A105" s="4"/>
      <c r="B105" s="4"/>
      <c r="C105" s="4"/>
      <c r="D105" s="4"/>
    </row>
    <row r="106" spans="1:4" ht="18" customHeight="1" x14ac:dyDescent="0.2">
      <c r="A106" s="4"/>
      <c r="B106" s="4"/>
      <c r="C106" s="4"/>
      <c r="D106" s="4"/>
    </row>
    <row r="107" spans="1:4" ht="18" customHeight="1" x14ac:dyDescent="0.2">
      <c r="A107" s="4"/>
      <c r="B107" s="4"/>
      <c r="C107" s="4"/>
      <c r="D107" s="4"/>
    </row>
    <row r="108" spans="1:4" ht="18" customHeight="1" x14ac:dyDescent="0.2">
      <c r="A108" s="4"/>
      <c r="B108" s="4"/>
      <c r="C108" s="4"/>
      <c r="D108" s="4"/>
    </row>
    <row r="109" spans="1:4" ht="18" customHeight="1" x14ac:dyDescent="0.2">
      <c r="A109" s="4"/>
      <c r="B109" s="4"/>
      <c r="C109" s="4"/>
      <c r="D109" s="4"/>
    </row>
    <row r="110" spans="1:4" ht="18" customHeight="1" x14ac:dyDescent="0.2">
      <c r="A110" s="4"/>
      <c r="B110" s="4"/>
      <c r="C110" s="4"/>
      <c r="D110" s="4"/>
    </row>
    <row r="111" spans="1:4" ht="18" customHeight="1" x14ac:dyDescent="0.2">
      <c r="A111" s="4"/>
      <c r="B111" s="4"/>
      <c r="C111" s="4"/>
      <c r="D111" s="4"/>
    </row>
    <row r="112" spans="1:4" ht="18" customHeight="1" x14ac:dyDescent="0.2">
      <c r="A112" s="4"/>
      <c r="B112" s="4"/>
      <c r="C112" s="4"/>
      <c r="D112" s="4"/>
    </row>
    <row r="113" spans="1:4" ht="18" customHeight="1" x14ac:dyDescent="0.2">
      <c r="A113" s="4"/>
      <c r="B113" s="4"/>
      <c r="C113" s="4"/>
      <c r="D113" s="4"/>
    </row>
    <row r="114" spans="1:4" ht="18" customHeight="1" x14ac:dyDescent="0.2">
      <c r="A114" s="4"/>
      <c r="B114" s="4"/>
      <c r="C114" s="4"/>
      <c r="D114" s="4"/>
    </row>
    <row r="115" spans="1:4" ht="18" customHeight="1" x14ac:dyDescent="0.2">
      <c r="A115" s="4"/>
      <c r="B115" s="4"/>
      <c r="C115" s="4"/>
      <c r="D115" s="4"/>
    </row>
    <row r="116" spans="1:4" ht="18" customHeight="1" x14ac:dyDescent="0.2">
      <c r="A116" s="4"/>
      <c r="B116" s="4"/>
      <c r="C116" s="4"/>
      <c r="D116" s="4"/>
    </row>
    <row r="117" spans="1:4" ht="18" customHeight="1" x14ac:dyDescent="0.2">
      <c r="A117" s="4"/>
      <c r="B117" s="4"/>
      <c r="C117" s="4"/>
      <c r="D117" s="4"/>
    </row>
    <row r="118" spans="1:4" ht="18" customHeight="1" x14ac:dyDescent="0.2">
      <c r="A118" s="4"/>
      <c r="B118" s="4"/>
      <c r="C118" s="4"/>
      <c r="D118" s="4"/>
    </row>
    <row r="119" spans="1:4" ht="18" customHeight="1" x14ac:dyDescent="0.2">
      <c r="A119" s="4"/>
      <c r="B119" s="4"/>
      <c r="C119" s="4"/>
      <c r="D119" s="4"/>
    </row>
    <row r="120" spans="1:4" ht="18" customHeight="1" x14ac:dyDescent="0.2">
      <c r="A120" s="4"/>
      <c r="B120" s="4"/>
      <c r="C120" s="4"/>
      <c r="D120" s="4"/>
    </row>
    <row r="121" spans="1:4" ht="18" customHeight="1" x14ac:dyDescent="0.2">
      <c r="A121" s="4"/>
      <c r="B121" s="4"/>
      <c r="C121" s="4"/>
      <c r="D121" s="4"/>
    </row>
    <row r="122" spans="1:4" ht="18" customHeight="1" x14ac:dyDescent="0.2">
      <c r="A122" s="4"/>
      <c r="B122" s="4"/>
      <c r="C122" s="4"/>
      <c r="D122" s="4"/>
    </row>
    <row r="123" spans="1:4" ht="18" customHeight="1" x14ac:dyDescent="0.2">
      <c r="A123" s="4"/>
      <c r="B123" s="4"/>
      <c r="C123" s="4"/>
      <c r="D123" s="4"/>
    </row>
    <row r="124" spans="1:4" ht="18" customHeight="1" x14ac:dyDescent="0.2">
      <c r="A124" s="4"/>
      <c r="B124" s="4"/>
      <c r="C124" s="4"/>
      <c r="D124" s="4"/>
    </row>
    <row r="125" spans="1:4" ht="18" customHeight="1" x14ac:dyDescent="0.2">
      <c r="A125" s="4"/>
      <c r="B125" s="4"/>
      <c r="C125" s="4"/>
      <c r="D125" s="4"/>
    </row>
    <row r="126" spans="1:4" ht="18" customHeight="1" x14ac:dyDescent="0.2">
      <c r="A126" s="4"/>
      <c r="B126" s="4"/>
      <c r="C126" s="4"/>
      <c r="D126" s="4"/>
    </row>
    <row r="127" spans="1:4" ht="18" customHeight="1" x14ac:dyDescent="0.2">
      <c r="A127" s="4"/>
      <c r="B127" s="4"/>
      <c r="C127" s="4"/>
      <c r="D127" s="4"/>
    </row>
    <row r="128" spans="1:4" ht="18" customHeight="1" x14ac:dyDescent="0.2">
      <c r="A128" s="4"/>
      <c r="B128" s="4"/>
      <c r="C128" s="4"/>
      <c r="D128" s="4"/>
    </row>
    <row r="129" spans="1:4" ht="18" customHeight="1" x14ac:dyDescent="0.2">
      <c r="A129" s="4"/>
      <c r="B129" s="4"/>
      <c r="C129" s="4"/>
      <c r="D129" s="4"/>
    </row>
    <row r="130" spans="1:4" ht="18" customHeight="1" x14ac:dyDescent="0.2">
      <c r="A130" s="4"/>
      <c r="B130" s="4"/>
      <c r="C130" s="4"/>
      <c r="D130" s="4"/>
    </row>
    <row r="131" spans="1:4" ht="18" customHeight="1" x14ac:dyDescent="0.2">
      <c r="A131" s="4"/>
      <c r="B131" s="4"/>
      <c r="C131" s="4"/>
      <c r="D131" s="4"/>
    </row>
    <row r="132" spans="1:4" ht="18" customHeight="1" x14ac:dyDescent="0.2">
      <c r="A132" s="4"/>
      <c r="B132" s="4"/>
      <c r="C132" s="4"/>
      <c r="D132" s="4"/>
    </row>
    <row r="133" spans="1:4" ht="18" customHeight="1" x14ac:dyDescent="0.2">
      <c r="A133" s="4"/>
      <c r="B133" s="4"/>
      <c r="C133" s="4"/>
      <c r="D133" s="4"/>
    </row>
    <row r="134" spans="1:4" ht="18" customHeight="1" x14ac:dyDescent="0.2">
      <c r="A134" s="4"/>
      <c r="B134" s="4"/>
      <c r="C134" s="4"/>
      <c r="D134" s="4"/>
    </row>
    <row r="135" spans="1:4" ht="18" customHeight="1" x14ac:dyDescent="0.2">
      <c r="A135" s="4"/>
      <c r="B135" s="4"/>
      <c r="C135" s="4"/>
      <c r="D135" s="4"/>
    </row>
    <row r="136" spans="1:4" ht="18" customHeight="1" x14ac:dyDescent="0.2">
      <c r="A136" s="4"/>
      <c r="B136" s="4"/>
      <c r="C136" s="4"/>
      <c r="D136" s="4"/>
    </row>
    <row r="137" spans="1:4" ht="18" customHeight="1" x14ac:dyDescent="0.2">
      <c r="A137" s="4"/>
      <c r="B137" s="4"/>
      <c r="C137" s="4"/>
      <c r="D137" s="4"/>
    </row>
    <row r="138" spans="1:4" ht="18" customHeight="1" x14ac:dyDescent="0.2">
      <c r="A138" s="4"/>
      <c r="B138" s="4"/>
      <c r="C138" s="4"/>
      <c r="D138" s="4"/>
    </row>
    <row r="139" spans="1:4" ht="18" customHeight="1" x14ac:dyDescent="0.2">
      <c r="A139" s="4"/>
      <c r="B139" s="4"/>
      <c r="C139" s="4"/>
      <c r="D139" s="4"/>
    </row>
    <row r="140" spans="1:4" ht="18" customHeight="1" x14ac:dyDescent="0.2">
      <c r="A140" s="4"/>
      <c r="B140" s="4"/>
      <c r="C140" s="4"/>
      <c r="D140" s="4"/>
    </row>
    <row r="141" spans="1:4" ht="18" customHeight="1" x14ac:dyDescent="0.2">
      <c r="A141" s="4"/>
      <c r="B141" s="4"/>
      <c r="C141" s="4"/>
      <c r="D141" s="4"/>
    </row>
    <row r="142" spans="1:4" ht="18" customHeight="1" x14ac:dyDescent="0.2">
      <c r="A142" s="4"/>
      <c r="B142" s="4"/>
      <c r="C142" s="4"/>
      <c r="D142" s="4"/>
    </row>
    <row r="143" spans="1:4" ht="18" customHeight="1" x14ac:dyDescent="0.2">
      <c r="A143" s="4"/>
      <c r="B143" s="4"/>
      <c r="C143" s="4"/>
      <c r="D143" s="4"/>
    </row>
    <row r="144" spans="1:4" ht="18" customHeight="1" x14ac:dyDescent="0.2">
      <c r="A144" s="4"/>
      <c r="B144" s="4"/>
      <c r="C144" s="4"/>
      <c r="D144" s="4"/>
    </row>
    <row r="145" spans="1:4" ht="18" customHeight="1" x14ac:dyDescent="0.2">
      <c r="A145" s="4"/>
      <c r="B145" s="4"/>
      <c r="C145" s="4"/>
      <c r="D145" s="4"/>
    </row>
    <row r="146" spans="1:4" ht="18" customHeight="1" x14ac:dyDescent="0.2">
      <c r="A146" s="4"/>
      <c r="B146" s="4"/>
      <c r="C146" s="4"/>
      <c r="D146" s="4"/>
    </row>
    <row r="147" spans="1:4" ht="18" customHeight="1" x14ac:dyDescent="0.2">
      <c r="A147" s="4"/>
      <c r="B147" s="4"/>
      <c r="C147" s="4"/>
      <c r="D147" s="4"/>
    </row>
    <row r="148" spans="1:4" ht="18" customHeight="1" x14ac:dyDescent="0.2">
      <c r="A148" s="4"/>
      <c r="B148" s="4"/>
      <c r="C148" s="4"/>
      <c r="D148" s="4"/>
    </row>
    <row r="149" spans="1:4" ht="18" customHeight="1" x14ac:dyDescent="0.2">
      <c r="A149" s="4"/>
      <c r="B149" s="4"/>
      <c r="C149" s="4"/>
      <c r="D149" s="4"/>
    </row>
    <row r="150" spans="1:4" ht="18" customHeight="1" x14ac:dyDescent="0.2">
      <c r="A150" s="4"/>
      <c r="B150" s="4"/>
      <c r="C150" s="4"/>
      <c r="D150" s="4"/>
    </row>
    <row r="151" spans="1:4" ht="18" customHeight="1" x14ac:dyDescent="0.2">
      <c r="A151" s="4"/>
      <c r="B151" s="4"/>
      <c r="C151" s="4"/>
      <c r="D151" s="4"/>
    </row>
    <row r="152" spans="1:4" ht="18" customHeight="1" x14ac:dyDescent="0.2">
      <c r="A152" s="4"/>
      <c r="B152" s="4"/>
      <c r="C152" s="4"/>
      <c r="D152" s="4"/>
    </row>
    <row r="153" spans="1:4" ht="18" customHeight="1" x14ac:dyDescent="0.2">
      <c r="A153" s="4"/>
      <c r="B153" s="4"/>
      <c r="C153" s="4"/>
      <c r="D153" s="4"/>
    </row>
    <row r="154" spans="1:4" ht="18" customHeight="1" x14ac:dyDescent="0.2">
      <c r="A154" s="4"/>
      <c r="B154" s="4"/>
      <c r="C154" s="4"/>
      <c r="D154" s="4"/>
    </row>
    <row r="155" spans="1:4" ht="18" customHeight="1" x14ac:dyDescent="0.2">
      <c r="A155" s="4"/>
      <c r="B155" s="4"/>
      <c r="C155" s="4"/>
      <c r="D155" s="4"/>
    </row>
    <row r="156" spans="1:4" ht="18" customHeight="1" x14ac:dyDescent="0.2">
      <c r="A156" s="4"/>
      <c r="B156" s="4"/>
      <c r="C156" s="4"/>
      <c r="D156" s="4"/>
    </row>
    <row r="157" spans="1:4" ht="18" customHeight="1" x14ac:dyDescent="0.2">
      <c r="A157" s="4"/>
      <c r="B157" s="4"/>
      <c r="C157" s="4"/>
      <c r="D157" s="4"/>
    </row>
    <row r="158" spans="1:4" ht="18" customHeight="1" x14ac:dyDescent="0.2">
      <c r="A158" s="4"/>
      <c r="B158" s="4"/>
      <c r="C158" s="4"/>
      <c r="D158" s="4"/>
    </row>
    <row r="159" spans="1:4" ht="18" customHeight="1" x14ac:dyDescent="0.2">
      <c r="A159" s="4"/>
      <c r="B159" s="4"/>
      <c r="C159" s="4"/>
      <c r="D159" s="4"/>
    </row>
    <row r="160" spans="1:4" ht="18" customHeight="1" x14ac:dyDescent="0.2">
      <c r="A160" s="4"/>
      <c r="B160" s="4"/>
      <c r="C160" s="4"/>
      <c r="D160" s="4"/>
    </row>
    <row r="161" spans="1:4" ht="18" customHeight="1" x14ac:dyDescent="0.2">
      <c r="A161" s="4"/>
      <c r="B161" s="4"/>
      <c r="C161" s="4"/>
      <c r="D161" s="4"/>
    </row>
    <row r="162" spans="1:4" ht="18" customHeight="1" x14ac:dyDescent="0.2">
      <c r="A162" s="4"/>
      <c r="B162" s="4"/>
      <c r="C162" s="4"/>
      <c r="D162" s="4"/>
    </row>
    <row r="163" spans="1:4" ht="18" customHeight="1" x14ac:dyDescent="0.2">
      <c r="A163" s="4"/>
      <c r="B163" s="4"/>
      <c r="C163" s="4"/>
      <c r="D163" s="4"/>
    </row>
    <row r="164" spans="1:4" ht="18" customHeight="1" x14ac:dyDescent="0.2">
      <c r="A164" s="4"/>
      <c r="B164" s="4"/>
      <c r="C164" s="4"/>
      <c r="D164" s="4"/>
    </row>
    <row r="165" spans="1:4" ht="18" customHeight="1" x14ac:dyDescent="0.2">
      <c r="A165" s="4"/>
      <c r="B165" s="4"/>
      <c r="C165" s="4"/>
      <c r="D165" s="4"/>
    </row>
    <row r="166" spans="1:4" ht="18" customHeight="1" x14ac:dyDescent="0.2">
      <c r="A166" s="4"/>
      <c r="B166" s="4"/>
      <c r="C166" s="4"/>
      <c r="D166" s="4"/>
    </row>
    <row r="167" spans="1:4" ht="18" customHeight="1" x14ac:dyDescent="0.2">
      <c r="A167" s="4"/>
      <c r="B167" s="4"/>
      <c r="C167" s="4"/>
      <c r="D167" s="4"/>
    </row>
    <row r="168" spans="1:4" ht="18" customHeight="1" x14ac:dyDescent="0.2">
      <c r="A168" s="4"/>
      <c r="B168" s="4"/>
      <c r="C168" s="4"/>
      <c r="D168" s="4"/>
    </row>
    <row r="169" spans="1:4" ht="18" customHeight="1" x14ac:dyDescent="0.2">
      <c r="A169" s="4"/>
      <c r="B169" s="4"/>
      <c r="C169" s="4"/>
      <c r="D169" s="4"/>
    </row>
    <row r="170" spans="1:4" ht="18" customHeight="1" x14ac:dyDescent="0.2">
      <c r="A170" s="4"/>
      <c r="B170" s="4"/>
      <c r="C170" s="4"/>
      <c r="D170" s="4"/>
    </row>
    <row r="171" spans="1:4" ht="18" customHeight="1" x14ac:dyDescent="0.2">
      <c r="A171" s="4"/>
      <c r="B171" s="4"/>
      <c r="C171" s="4"/>
      <c r="D171" s="4"/>
    </row>
    <row r="172" spans="1:4" ht="18" customHeight="1" x14ac:dyDescent="0.2">
      <c r="A172" s="4"/>
      <c r="B172" s="4"/>
      <c r="C172" s="4"/>
      <c r="D172" s="4"/>
    </row>
    <row r="173" spans="1:4" ht="18" customHeight="1" x14ac:dyDescent="0.2">
      <c r="A173" s="4"/>
      <c r="B173" s="4"/>
      <c r="C173" s="4"/>
      <c r="D173" s="4"/>
    </row>
    <row r="174" spans="1:4" ht="18" customHeight="1" x14ac:dyDescent="0.2">
      <c r="A174" s="4"/>
      <c r="B174" s="4"/>
      <c r="C174" s="4"/>
      <c r="D174" s="4"/>
    </row>
    <row r="175" spans="1:4" ht="18" customHeight="1" x14ac:dyDescent="0.2">
      <c r="A175" s="4"/>
      <c r="B175" s="4"/>
      <c r="C175" s="4"/>
      <c r="D175" s="4"/>
    </row>
    <row r="176" spans="1:4" ht="18" customHeight="1" x14ac:dyDescent="0.2">
      <c r="A176" s="4"/>
      <c r="B176" s="4"/>
      <c r="C176" s="4"/>
      <c r="D176" s="4"/>
    </row>
    <row r="177" spans="1:4" ht="18" customHeight="1" x14ac:dyDescent="0.2">
      <c r="A177" s="4"/>
      <c r="B177" s="4"/>
      <c r="C177" s="4"/>
      <c r="D177" s="4"/>
    </row>
    <row r="178" spans="1:4" ht="18" customHeight="1" x14ac:dyDescent="0.2">
      <c r="A178" s="4"/>
      <c r="B178" s="4"/>
      <c r="C178" s="4"/>
      <c r="D178" s="4"/>
    </row>
    <row r="179" spans="1:4" ht="18" customHeight="1" x14ac:dyDescent="0.2">
      <c r="A179" s="4"/>
      <c r="B179" s="4"/>
      <c r="C179" s="4"/>
      <c r="D179" s="4"/>
    </row>
    <row r="180" spans="1:4" ht="18" customHeight="1" x14ac:dyDescent="0.2">
      <c r="A180" s="4"/>
      <c r="B180" s="4"/>
      <c r="C180" s="4"/>
      <c r="D180" s="4"/>
    </row>
    <row r="181" spans="1:4" ht="18" customHeight="1" x14ac:dyDescent="0.2">
      <c r="A181" s="4"/>
      <c r="B181" s="4"/>
      <c r="C181" s="4"/>
      <c r="D181" s="4"/>
    </row>
    <row r="182" spans="1:4" ht="18" customHeight="1" x14ac:dyDescent="0.2">
      <c r="A182" s="4"/>
      <c r="B182" s="4"/>
      <c r="C182" s="4"/>
      <c r="D182" s="4"/>
    </row>
    <row r="183" spans="1:4" ht="18" customHeight="1" x14ac:dyDescent="0.2">
      <c r="A183" s="4"/>
      <c r="B183" s="4"/>
      <c r="C183" s="4"/>
      <c r="D183" s="4"/>
    </row>
    <row r="184" spans="1:4" ht="18" customHeight="1" x14ac:dyDescent="0.2">
      <c r="A184" s="4"/>
      <c r="B184" s="4"/>
      <c r="C184" s="4"/>
      <c r="D184" s="4"/>
    </row>
    <row r="185" spans="1:4" ht="18" customHeight="1" x14ac:dyDescent="0.2">
      <c r="A185" s="4"/>
      <c r="B185" s="4"/>
      <c r="C185" s="4"/>
      <c r="D185" s="4"/>
    </row>
    <row r="186" spans="1:4" ht="18" customHeight="1" x14ac:dyDescent="0.2">
      <c r="A186" s="4"/>
      <c r="B186" s="4"/>
      <c r="C186" s="4"/>
      <c r="D186" s="4"/>
    </row>
    <row r="187" spans="1:4" ht="18" customHeight="1" x14ac:dyDescent="0.2">
      <c r="A187" s="4"/>
      <c r="B187" s="4"/>
      <c r="C187" s="4"/>
      <c r="D187" s="4"/>
    </row>
    <row r="188" spans="1:4" ht="18" customHeight="1" x14ac:dyDescent="0.2">
      <c r="A188" s="4"/>
      <c r="B188" s="4"/>
      <c r="C188" s="4"/>
      <c r="D188" s="4"/>
    </row>
    <row r="189" spans="1:4" ht="18" customHeight="1" x14ac:dyDescent="0.2">
      <c r="A189" s="4"/>
      <c r="B189" s="4"/>
      <c r="C189" s="4"/>
      <c r="D189" s="4"/>
    </row>
    <row r="190" spans="1:4" ht="18" customHeight="1" x14ac:dyDescent="0.2">
      <c r="A190" s="4"/>
      <c r="B190" s="4"/>
      <c r="C190" s="4"/>
      <c r="D190" s="4"/>
    </row>
    <row r="191" spans="1:4" ht="18" customHeight="1" x14ac:dyDescent="0.2">
      <c r="A191" s="4"/>
      <c r="B191" s="4"/>
      <c r="C191" s="4"/>
      <c r="D191" s="4"/>
    </row>
    <row r="192" spans="1:4" ht="18" customHeight="1" x14ac:dyDescent="0.2">
      <c r="A192" s="4"/>
      <c r="B192" s="4"/>
      <c r="C192" s="4"/>
      <c r="D192" s="4"/>
    </row>
    <row r="193" spans="1:4" ht="18" customHeight="1" x14ac:dyDescent="0.2">
      <c r="A193" s="4"/>
      <c r="B193" s="4"/>
      <c r="C193" s="4"/>
      <c r="D193" s="4"/>
    </row>
    <row r="194" spans="1:4" ht="18" customHeight="1" x14ac:dyDescent="0.2">
      <c r="A194" s="4"/>
      <c r="B194" s="4"/>
      <c r="C194" s="4"/>
      <c r="D194" s="4"/>
    </row>
    <row r="195" spans="1:4" ht="18" customHeight="1" x14ac:dyDescent="0.2">
      <c r="A195" s="4"/>
      <c r="B195" s="4"/>
      <c r="C195" s="4"/>
      <c r="D195" s="4"/>
    </row>
    <row r="196" spans="1:4" ht="18" customHeight="1" x14ac:dyDescent="0.2">
      <c r="A196" s="4"/>
      <c r="B196" s="4"/>
      <c r="C196" s="4"/>
      <c r="D196" s="4"/>
    </row>
    <row r="197" spans="1:4" ht="18" customHeight="1" x14ac:dyDescent="0.2">
      <c r="A197" s="4"/>
      <c r="B197" s="4"/>
      <c r="C197" s="4"/>
      <c r="D197" s="4"/>
    </row>
    <row r="198" spans="1:4" ht="18" customHeight="1" x14ac:dyDescent="0.2">
      <c r="A198" s="4"/>
      <c r="B198" s="4"/>
      <c r="C198" s="4"/>
      <c r="D198" s="4"/>
    </row>
    <row r="199" spans="1:4" ht="18" customHeight="1" x14ac:dyDescent="0.2">
      <c r="A199" s="4"/>
      <c r="B199" s="4"/>
      <c r="C199" s="4"/>
      <c r="D199" s="4"/>
    </row>
    <row r="200" spans="1:4" ht="18" customHeight="1" x14ac:dyDescent="0.2">
      <c r="A200" s="4"/>
      <c r="B200" s="4"/>
      <c r="C200" s="4"/>
      <c r="D200" s="4"/>
    </row>
  </sheetData>
  <mergeCells count="2">
    <mergeCell ref="A1:D1"/>
    <mergeCell ref="A2:D2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00"/>
  <sheetViews>
    <sheetView workbookViewId="0">
      <pane ySplit="3" topLeftCell="A4" activePane="bottomLeft" state="frozen"/>
      <selection pane="bottomLeft"/>
    </sheetView>
  </sheetViews>
  <sheetFormatPr defaultRowHeight="15" x14ac:dyDescent="0.2"/>
  <cols>
    <col min="1" max="1" width="11.97265625" customWidth="1"/>
    <col min="2" max="2" width="18.0234375" customWidth="1"/>
    <col min="3" max="3" width="20.04296875" customWidth="1"/>
    <col min="4" max="5" width="18.0234375" customWidth="1"/>
  </cols>
  <sheetData>
    <row r="1" spans="1:5" ht="27.95" customHeight="1" x14ac:dyDescent="0.2">
      <c r="A1" s="11" t="s">
        <v>89</v>
      </c>
      <c r="B1" s="8"/>
      <c r="C1" s="8"/>
      <c r="D1" s="8"/>
      <c r="E1" s="8"/>
    </row>
    <row r="2" spans="1:5" ht="33.950000000000003" customHeight="1" x14ac:dyDescent="0.2">
      <c r="A2" s="12" t="s">
        <v>90</v>
      </c>
      <c r="B2" s="8"/>
      <c r="C2" s="8"/>
      <c r="D2" s="8"/>
      <c r="E2" s="8"/>
    </row>
    <row r="3" spans="1:5" ht="21.95" customHeight="1" x14ac:dyDescent="0.2">
      <c r="A3" s="1" t="s">
        <v>33</v>
      </c>
      <c r="B3" s="1" t="s">
        <v>16</v>
      </c>
      <c r="C3" s="1" t="s">
        <v>91</v>
      </c>
      <c r="D3" s="1" t="s">
        <v>35</v>
      </c>
      <c r="E3" s="1" t="s">
        <v>36</v>
      </c>
    </row>
    <row r="4" spans="1:5" ht="18" customHeight="1" x14ac:dyDescent="0.2">
      <c r="A4" s="4" t="s">
        <v>40</v>
      </c>
      <c r="B4" s="6">
        <f>INPUT_ZENTRAL!C5</f>
        <v>10</v>
      </c>
      <c r="C4" s="6">
        <f>ROUND(B4*0.922,0)</f>
        <v>9</v>
      </c>
      <c r="D4" s="4">
        <v>24531</v>
      </c>
      <c r="E4" s="4">
        <v>2758</v>
      </c>
    </row>
    <row r="5" spans="1:5" ht="18" customHeight="1" x14ac:dyDescent="0.2">
      <c r="A5" s="4" t="s">
        <v>41</v>
      </c>
      <c r="B5" s="6">
        <f>INPUT_ZENTRAL!C5</f>
        <v>10</v>
      </c>
      <c r="C5" s="6">
        <f>ROUND(B5*0.921,0)</f>
        <v>9</v>
      </c>
      <c r="D5" s="4">
        <v>24394</v>
      </c>
      <c r="E5" s="4">
        <v>2897</v>
      </c>
    </row>
    <row r="6" spans="1:5" ht="18" customHeight="1" x14ac:dyDescent="0.2">
      <c r="A6" s="4" t="s">
        <v>42</v>
      </c>
      <c r="B6" s="6">
        <f>INPUT_ZENTRAL!C5</f>
        <v>10</v>
      </c>
      <c r="C6" s="6">
        <f>ROUND(B6*0.92,0)</f>
        <v>9</v>
      </c>
      <c r="D6" s="4">
        <v>24499</v>
      </c>
      <c r="E6" s="4">
        <v>2929</v>
      </c>
    </row>
    <row r="7" spans="1:5" ht="18" customHeight="1" x14ac:dyDescent="0.2">
      <c r="A7" s="4" t="s">
        <v>43</v>
      </c>
      <c r="B7" s="6">
        <f>INPUT_ZENTRAL!C5</f>
        <v>10</v>
      </c>
      <c r="C7" s="6">
        <f>ROUND(B7*0.926,0)</f>
        <v>9</v>
      </c>
      <c r="D7" s="4">
        <v>25004</v>
      </c>
      <c r="E7" s="4">
        <v>2947</v>
      </c>
    </row>
    <row r="8" spans="1:5" ht="18" customHeight="1" x14ac:dyDescent="0.2">
      <c r="A8" s="4" t="s">
        <v>44</v>
      </c>
      <c r="B8" s="6">
        <f>INPUT_ZENTRAL!C5</f>
        <v>10</v>
      </c>
      <c r="C8" s="6">
        <f>ROUND(B8*0.936,0)</f>
        <v>9</v>
      </c>
      <c r="D8" s="4">
        <v>25244</v>
      </c>
      <c r="E8" s="4">
        <v>2988</v>
      </c>
    </row>
    <row r="9" spans="1:5" ht="18" customHeight="1" x14ac:dyDescent="0.2">
      <c r="A9" s="4" t="s">
        <v>45</v>
      </c>
      <c r="B9" s="6">
        <f>INPUT_ZENTRAL!C5</f>
        <v>10</v>
      </c>
      <c r="C9" s="6">
        <f>ROUND(B9*0.937,0)</f>
        <v>9</v>
      </c>
      <c r="D9" s="4">
        <v>24926</v>
      </c>
      <c r="E9" s="4">
        <v>2977</v>
      </c>
    </row>
    <row r="10" spans="1:5" ht="18" customHeight="1" x14ac:dyDescent="0.2">
      <c r="A10" s="4" t="s">
        <v>46</v>
      </c>
      <c r="B10" s="6">
        <f>INPUT_ZENTRAL!C5</f>
        <v>10</v>
      </c>
      <c r="C10" s="6">
        <f>ROUND(B10*0.937,0)</f>
        <v>9</v>
      </c>
      <c r="D10" s="4">
        <v>24983</v>
      </c>
      <c r="E10" s="4">
        <v>3107</v>
      </c>
    </row>
    <row r="11" spans="1:5" ht="18" customHeight="1" x14ac:dyDescent="0.2">
      <c r="A11" s="4" t="s">
        <v>47</v>
      </c>
      <c r="B11" s="6">
        <f>INPUT_ZENTRAL!C5</f>
        <v>10</v>
      </c>
      <c r="C11" s="6">
        <f>ROUND(B11*0.945,0)</f>
        <v>9</v>
      </c>
      <c r="D11" s="4">
        <v>25266</v>
      </c>
      <c r="E11" s="4">
        <v>3011</v>
      </c>
    </row>
    <row r="12" spans="1:5" ht="18" customHeight="1" x14ac:dyDescent="0.2">
      <c r="A12" s="4" t="s">
        <v>48</v>
      </c>
      <c r="B12" s="6">
        <f>INPUT_ZENTRAL!C5</f>
        <v>10</v>
      </c>
      <c r="C12" s="6">
        <f>ROUND(B12*0.944,0)</f>
        <v>9</v>
      </c>
      <c r="D12" s="4">
        <v>25456</v>
      </c>
      <c r="E12" s="4">
        <v>3147</v>
      </c>
    </row>
    <row r="13" spans="1:5" ht="18" customHeight="1" x14ac:dyDescent="0.2">
      <c r="A13" s="4" t="s">
        <v>49</v>
      </c>
      <c r="B13" s="6">
        <f>INPUT_ZENTRAL!C5</f>
        <v>10</v>
      </c>
      <c r="C13" s="6">
        <f>ROUND(B13*0.951,0)</f>
        <v>10</v>
      </c>
      <c r="D13" s="4">
        <v>25864</v>
      </c>
      <c r="E13" s="4">
        <v>3158</v>
      </c>
    </row>
    <row r="14" spans="1:5" ht="18" customHeight="1" x14ac:dyDescent="0.2">
      <c r="A14" s="4"/>
      <c r="B14" s="4"/>
      <c r="C14" s="4"/>
      <c r="D14" s="4"/>
      <c r="E14" s="4"/>
    </row>
    <row r="15" spans="1:5" ht="18" customHeight="1" x14ac:dyDescent="0.2">
      <c r="A15" s="4"/>
      <c r="B15" s="4"/>
      <c r="C15" s="4"/>
      <c r="D15" s="4"/>
      <c r="E15" s="4"/>
    </row>
    <row r="16" spans="1:5" ht="18" customHeight="1" x14ac:dyDescent="0.2">
      <c r="A16" s="4"/>
      <c r="B16" s="4"/>
      <c r="C16" s="4"/>
      <c r="D16" s="4"/>
      <c r="E16" s="4"/>
    </row>
    <row r="17" spans="1:5" ht="18" customHeight="1" x14ac:dyDescent="0.2">
      <c r="A17" s="4"/>
      <c r="B17" s="4"/>
      <c r="C17" s="4"/>
      <c r="D17" s="4"/>
      <c r="E17" s="4"/>
    </row>
    <row r="18" spans="1:5" ht="18" customHeight="1" x14ac:dyDescent="0.2">
      <c r="A18" s="4"/>
      <c r="B18" s="4"/>
      <c r="C18" s="4"/>
      <c r="D18" s="4"/>
      <c r="E18" s="4"/>
    </row>
    <row r="19" spans="1:5" ht="18" customHeight="1" x14ac:dyDescent="0.2">
      <c r="A19" s="4"/>
      <c r="B19" s="4"/>
      <c r="C19" s="4"/>
      <c r="D19" s="4"/>
      <c r="E19" s="4"/>
    </row>
    <row r="20" spans="1:5" ht="18" customHeight="1" x14ac:dyDescent="0.2">
      <c r="A20" s="4"/>
      <c r="B20" s="4"/>
      <c r="C20" s="4"/>
      <c r="D20" s="4"/>
      <c r="E20" s="4"/>
    </row>
    <row r="21" spans="1:5" ht="18" customHeight="1" x14ac:dyDescent="0.2">
      <c r="A21" s="4"/>
      <c r="B21" s="4"/>
      <c r="C21" s="4"/>
      <c r="D21" s="4"/>
      <c r="E21" s="4"/>
    </row>
    <row r="22" spans="1:5" ht="18" customHeight="1" x14ac:dyDescent="0.2">
      <c r="A22" s="4"/>
      <c r="B22" s="4"/>
      <c r="C22" s="4"/>
      <c r="D22" s="4"/>
      <c r="E22" s="4"/>
    </row>
    <row r="23" spans="1:5" ht="18" customHeight="1" x14ac:dyDescent="0.2">
      <c r="A23" s="4"/>
      <c r="B23" s="4"/>
      <c r="C23" s="4"/>
      <c r="D23" s="4"/>
      <c r="E23" s="4"/>
    </row>
    <row r="24" spans="1:5" ht="18" customHeight="1" x14ac:dyDescent="0.2">
      <c r="A24" s="4"/>
      <c r="B24" s="4"/>
      <c r="C24" s="4"/>
      <c r="D24" s="4"/>
      <c r="E24" s="4"/>
    </row>
    <row r="25" spans="1:5" ht="18" customHeight="1" x14ac:dyDescent="0.2">
      <c r="A25" s="4"/>
      <c r="B25" s="4"/>
      <c r="C25" s="4"/>
      <c r="D25" s="4"/>
      <c r="E25" s="4"/>
    </row>
    <row r="26" spans="1:5" ht="18" customHeight="1" x14ac:dyDescent="0.2">
      <c r="A26" s="4"/>
      <c r="B26" s="4"/>
      <c r="C26" s="4"/>
      <c r="D26" s="4"/>
      <c r="E26" s="4"/>
    </row>
    <row r="27" spans="1:5" ht="18" customHeight="1" x14ac:dyDescent="0.2">
      <c r="A27" s="4"/>
      <c r="B27" s="4"/>
      <c r="C27" s="4"/>
      <c r="D27" s="4"/>
      <c r="E27" s="4"/>
    </row>
    <row r="28" spans="1:5" ht="18" customHeight="1" x14ac:dyDescent="0.2">
      <c r="A28" s="4"/>
      <c r="B28" s="4"/>
      <c r="C28" s="4"/>
      <c r="D28" s="4"/>
      <c r="E28" s="4"/>
    </row>
    <row r="29" spans="1:5" ht="18" customHeight="1" x14ac:dyDescent="0.2">
      <c r="A29" s="4"/>
      <c r="B29" s="4"/>
      <c r="C29" s="4"/>
      <c r="D29" s="4"/>
      <c r="E29" s="4"/>
    </row>
    <row r="30" spans="1:5" ht="18" customHeight="1" x14ac:dyDescent="0.2">
      <c r="A30" s="4"/>
      <c r="B30" s="4"/>
      <c r="C30" s="4"/>
      <c r="D30" s="4"/>
      <c r="E30" s="4"/>
    </row>
    <row r="31" spans="1:5" ht="18" customHeight="1" x14ac:dyDescent="0.2">
      <c r="A31" s="4"/>
      <c r="B31" s="4"/>
      <c r="C31" s="4"/>
      <c r="D31" s="4"/>
      <c r="E31" s="4"/>
    </row>
    <row r="32" spans="1:5" ht="18" customHeight="1" x14ac:dyDescent="0.2">
      <c r="A32" s="4"/>
      <c r="B32" s="4"/>
      <c r="C32" s="4"/>
      <c r="D32" s="4"/>
      <c r="E32" s="4"/>
    </row>
    <row r="33" spans="1:5" ht="18" customHeight="1" x14ac:dyDescent="0.2">
      <c r="A33" s="4"/>
      <c r="B33" s="4"/>
      <c r="C33" s="4"/>
      <c r="D33" s="4"/>
      <c r="E33" s="4"/>
    </row>
    <row r="34" spans="1:5" ht="18" customHeight="1" x14ac:dyDescent="0.2">
      <c r="A34" s="4"/>
      <c r="B34" s="4"/>
      <c r="C34" s="4"/>
      <c r="D34" s="4"/>
      <c r="E34" s="4"/>
    </row>
    <row r="35" spans="1:5" ht="18" customHeight="1" x14ac:dyDescent="0.2">
      <c r="A35" s="4"/>
      <c r="B35" s="4"/>
      <c r="C35" s="4"/>
      <c r="D35" s="4"/>
      <c r="E35" s="4"/>
    </row>
    <row r="36" spans="1:5" ht="18" customHeight="1" x14ac:dyDescent="0.2">
      <c r="A36" s="4"/>
      <c r="B36" s="4"/>
      <c r="C36" s="4"/>
      <c r="D36" s="4"/>
      <c r="E36" s="4"/>
    </row>
    <row r="37" spans="1:5" ht="18" customHeight="1" x14ac:dyDescent="0.2">
      <c r="A37" s="4"/>
      <c r="B37" s="4"/>
      <c r="C37" s="4"/>
      <c r="D37" s="4"/>
      <c r="E37" s="4"/>
    </row>
    <row r="38" spans="1:5" ht="18" customHeight="1" x14ac:dyDescent="0.2">
      <c r="A38" s="4"/>
      <c r="B38" s="4"/>
      <c r="C38" s="4"/>
      <c r="D38" s="4"/>
      <c r="E38" s="4"/>
    </row>
    <row r="39" spans="1:5" ht="18" customHeight="1" x14ac:dyDescent="0.2">
      <c r="A39" s="4"/>
      <c r="B39" s="4"/>
      <c r="C39" s="4"/>
      <c r="D39" s="4"/>
      <c r="E39" s="4"/>
    </row>
    <row r="40" spans="1:5" ht="18" customHeight="1" x14ac:dyDescent="0.2">
      <c r="A40" s="4"/>
      <c r="B40" s="4"/>
      <c r="C40" s="4"/>
      <c r="D40" s="4"/>
      <c r="E40" s="4"/>
    </row>
    <row r="41" spans="1:5" ht="18" customHeight="1" x14ac:dyDescent="0.2">
      <c r="A41" s="4"/>
      <c r="B41" s="4"/>
      <c r="C41" s="4"/>
      <c r="D41" s="4"/>
      <c r="E41" s="4"/>
    </row>
    <row r="42" spans="1:5" ht="18" customHeight="1" x14ac:dyDescent="0.2">
      <c r="A42" s="4"/>
      <c r="B42" s="4"/>
      <c r="C42" s="4"/>
      <c r="D42" s="4"/>
      <c r="E42" s="4"/>
    </row>
    <row r="43" spans="1:5" ht="18" customHeight="1" x14ac:dyDescent="0.2">
      <c r="A43" s="4"/>
      <c r="B43" s="4"/>
      <c r="C43" s="4"/>
      <c r="D43" s="4"/>
      <c r="E43" s="4"/>
    </row>
    <row r="44" spans="1:5" ht="18" customHeight="1" x14ac:dyDescent="0.2">
      <c r="A44" s="4"/>
      <c r="B44" s="4"/>
      <c r="C44" s="4"/>
      <c r="D44" s="4"/>
      <c r="E44" s="4"/>
    </row>
    <row r="45" spans="1:5" ht="18" customHeight="1" x14ac:dyDescent="0.2">
      <c r="A45" s="4"/>
      <c r="B45" s="4"/>
      <c r="C45" s="4"/>
      <c r="D45" s="4"/>
      <c r="E45" s="4"/>
    </row>
    <row r="46" spans="1:5" ht="18" customHeight="1" x14ac:dyDescent="0.2">
      <c r="A46" s="4"/>
      <c r="B46" s="4"/>
      <c r="C46" s="4"/>
      <c r="D46" s="4"/>
      <c r="E46" s="4"/>
    </row>
    <row r="47" spans="1:5" ht="18" customHeight="1" x14ac:dyDescent="0.2">
      <c r="A47" s="4"/>
      <c r="B47" s="4"/>
      <c r="C47" s="4"/>
      <c r="D47" s="4"/>
      <c r="E47" s="4"/>
    </row>
    <row r="48" spans="1:5" ht="18" customHeight="1" x14ac:dyDescent="0.2">
      <c r="A48" s="4"/>
      <c r="B48" s="4"/>
      <c r="C48" s="4"/>
      <c r="D48" s="4"/>
      <c r="E48" s="4"/>
    </row>
    <row r="49" spans="1:5" ht="18" customHeight="1" x14ac:dyDescent="0.2">
      <c r="A49" s="4"/>
      <c r="B49" s="4"/>
      <c r="C49" s="4"/>
      <c r="D49" s="4"/>
      <c r="E49" s="4"/>
    </row>
    <row r="50" spans="1:5" ht="18" customHeight="1" x14ac:dyDescent="0.2">
      <c r="A50" s="4"/>
      <c r="B50" s="4"/>
      <c r="C50" s="4"/>
      <c r="D50" s="4"/>
      <c r="E50" s="4"/>
    </row>
    <row r="51" spans="1:5" ht="18" customHeight="1" x14ac:dyDescent="0.2">
      <c r="A51" s="4"/>
      <c r="B51" s="4"/>
      <c r="C51" s="4"/>
      <c r="D51" s="4"/>
      <c r="E51" s="4"/>
    </row>
    <row r="52" spans="1:5" ht="18" customHeight="1" x14ac:dyDescent="0.2">
      <c r="A52" s="4"/>
      <c r="B52" s="4"/>
      <c r="C52" s="4"/>
      <c r="D52" s="4"/>
      <c r="E52" s="4"/>
    </row>
    <row r="53" spans="1:5" ht="18" customHeight="1" x14ac:dyDescent="0.2">
      <c r="A53" s="4"/>
      <c r="B53" s="4"/>
      <c r="C53" s="4"/>
      <c r="D53" s="4"/>
      <c r="E53" s="4"/>
    </row>
    <row r="54" spans="1:5" ht="18" customHeight="1" x14ac:dyDescent="0.2">
      <c r="A54" s="4"/>
      <c r="B54" s="4"/>
      <c r="C54" s="4"/>
      <c r="D54" s="4"/>
      <c r="E54" s="4"/>
    </row>
    <row r="55" spans="1:5" ht="18" customHeight="1" x14ac:dyDescent="0.2">
      <c r="A55" s="4"/>
      <c r="B55" s="4"/>
      <c r="C55" s="4"/>
      <c r="D55" s="4"/>
      <c r="E55" s="4"/>
    </row>
    <row r="56" spans="1:5" ht="18" customHeight="1" x14ac:dyDescent="0.2">
      <c r="A56" s="4"/>
      <c r="B56" s="4"/>
      <c r="C56" s="4"/>
      <c r="D56" s="4"/>
      <c r="E56" s="4"/>
    </row>
    <row r="57" spans="1:5" ht="18" customHeight="1" x14ac:dyDescent="0.2">
      <c r="A57" s="4"/>
      <c r="B57" s="4"/>
      <c r="C57" s="4"/>
      <c r="D57" s="4"/>
      <c r="E57" s="4"/>
    </row>
    <row r="58" spans="1:5" ht="18" customHeight="1" x14ac:dyDescent="0.2">
      <c r="A58" s="4"/>
      <c r="B58" s="4"/>
      <c r="C58" s="4"/>
      <c r="D58" s="4"/>
      <c r="E58" s="4"/>
    </row>
    <row r="59" spans="1:5" ht="18" customHeight="1" x14ac:dyDescent="0.2">
      <c r="A59" s="4"/>
      <c r="B59" s="4"/>
      <c r="C59" s="4"/>
      <c r="D59" s="4"/>
      <c r="E59" s="4"/>
    </row>
    <row r="60" spans="1:5" ht="18" customHeight="1" x14ac:dyDescent="0.2">
      <c r="A60" s="4"/>
      <c r="B60" s="4"/>
      <c r="C60" s="4"/>
      <c r="D60" s="4"/>
      <c r="E60" s="4"/>
    </row>
    <row r="61" spans="1:5" ht="18" customHeight="1" x14ac:dyDescent="0.2">
      <c r="A61" s="4"/>
      <c r="B61" s="4"/>
      <c r="C61" s="4"/>
      <c r="D61" s="4"/>
      <c r="E61" s="4"/>
    </row>
    <row r="62" spans="1:5" ht="18" customHeight="1" x14ac:dyDescent="0.2">
      <c r="A62" s="4"/>
      <c r="B62" s="4"/>
      <c r="C62" s="4"/>
      <c r="D62" s="4"/>
      <c r="E62" s="4"/>
    </row>
    <row r="63" spans="1:5" ht="18" customHeight="1" x14ac:dyDescent="0.2">
      <c r="A63" s="4"/>
      <c r="B63" s="4"/>
      <c r="C63" s="4"/>
      <c r="D63" s="4"/>
      <c r="E63" s="4"/>
    </row>
    <row r="64" spans="1:5" ht="18" customHeight="1" x14ac:dyDescent="0.2">
      <c r="A64" s="4"/>
      <c r="B64" s="4"/>
      <c r="C64" s="4"/>
      <c r="D64" s="4"/>
      <c r="E64" s="4"/>
    </row>
    <row r="65" spans="1:5" ht="18" customHeight="1" x14ac:dyDescent="0.2">
      <c r="A65" s="4"/>
      <c r="B65" s="4"/>
      <c r="C65" s="4"/>
      <c r="D65" s="4"/>
      <c r="E65" s="4"/>
    </row>
    <row r="66" spans="1:5" ht="18" customHeight="1" x14ac:dyDescent="0.2">
      <c r="A66" s="4"/>
      <c r="B66" s="4"/>
      <c r="C66" s="4"/>
      <c r="D66" s="4"/>
      <c r="E66" s="4"/>
    </row>
    <row r="67" spans="1:5" ht="18" customHeight="1" x14ac:dyDescent="0.2">
      <c r="A67" s="4"/>
      <c r="B67" s="4"/>
      <c r="C67" s="4"/>
      <c r="D67" s="4"/>
      <c r="E67" s="4"/>
    </row>
    <row r="68" spans="1:5" ht="18" customHeight="1" x14ac:dyDescent="0.2">
      <c r="A68" s="4"/>
      <c r="B68" s="4"/>
      <c r="C68" s="4"/>
      <c r="D68" s="4"/>
      <c r="E68" s="4"/>
    </row>
    <row r="69" spans="1:5" ht="18" customHeight="1" x14ac:dyDescent="0.2">
      <c r="A69" s="4"/>
      <c r="B69" s="4"/>
      <c r="C69" s="4"/>
      <c r="D69" s="4"/>
      <c r="E69" s="4"/>
    </row>
    <row r="70" spans="1:5" ht="18" customHeight="1" x14ac:dyDescent="0.2">
      <c r="A70" s="4"/>
      <c r="B70" s="4"/>
      <c r="C70" s="4"/>
      <c r="D70" s="4"/>
      <c r="E70" s="4"/>
    </row>
    <row r="71" spans="1:5" ht="18" customHeight="1" x14ac:dyDescent="0.2">
      <c r="A71" s="4"/>
      <c r="B71" s="4"/>
      <c r="C71" s="4"/>
      <c r="D71" s="4"/>
      <c r="E71" s="4"/>
    </row>
    <row r="72" spans="1:5" ht="18" customHeight="1" x14ac:dyDescent="0.2">
      <c r="A72" s="4"/>
      <c r="B72" s="4"/>
      <c r="C72" s="4"/>
      <c r="D72" s="4"/>
      <c r="E72" s="4"/>
    </row>
    <row r="73" spans="1:5" ht="18" customHeight="1" x14ac:dyDescent="0.2">
      <c r="A73" s="4"/>
      <c r="B73" s="4"/>
      <c r="C73" s="4"/>
      <c r="D73" s="4"/>
      <c r="E73" s="4"/>
    </row>
    <row r="74" spans="1:5" ht="18" customHeight="1" x14ac:dyDescent="0.2">
      <c r="A74" s="4"/>
      <c r="B74" s="4"/>
      <c r="C74" s="4"/>
      <c r="D74" s="4"/>
      <c r="E74" s="4"/>
    </row>
    <row r="75" spans="1:5" ht="18" customHeight="1" x14ac:dyDescent="0.2">
      <c r="A75" s="4"/>
      <c r="B75" s="4"/>
      <c r="C75" s="4"/>
      <c r="D75" s="4"/>
      <c r="E75" s="4"/>
    </row>
    <row r="76" spans="1:5" ht="18" customHeight="1" x14ac:dyDescent="0.2">
      <c r="A76" s="4"/>
      <c r="B76" s="4"/>
      <c r="C76" s="4"/>
      <c r="D76" s="4"/>
      <c r="E76" s="4"/>
    </row>
    <row r="77" spans="1:5" ht="18" customHeight="1" x14ac:dyDescent="0.2">
      <c r="A77" s="4"/>
      <c r="B77" s="4"/>
      <c r="C77" s="4"/>
      <c r="D77" s="4"/>
      <c r="E77" s="4"/>
    </row>
    <row r="78" spans="1:5" ht="18" customHeight="1" x14ac:dyDescent="0.2">
      <c r="A78" s="4"/>
      <c r="B78" s="4"/>
      <c r="C78" s="4"/>
      <c r="D78" s="4"/>
      <c r="E78" s="4"/>
    </row>
    <row r="79" spans="1:5" ht="18" customHeight="1" x14ac:dyDescent="0.2">
      <c r="A79" s="4"/>
      <c r="B79" s="4"/>
      <c r="C79" s="4"/>
      <c r="D79" s="4"/>
      <c r="E79" s="4"/>
    </row>
    <row r="80" spans="1:5" ht="18" customHeight="1" x14ac:dyDescent="0.2">
      <c r="A80" s="4"/>
      <c r="B80" s="4"/>
      <c r="C80" s="4"/>
      <c r="D80" s="4"/>
      <c r="E80" s="4"/>
    </row>
    <row r="81" spans="1:5" ht="18" customHeight="1" x14ac:dyDescent="0.2">
      <c r="A81" s="4"/>
      <c r="B81" s="4"/>
      <c r="C81" s="4"/>
      <c r="D81" s="4"/>
      <c r="E81" s="4"/>
    </row>
    <row r="82" spans="1:5" ht="18" customHeight="1" x14ac:dyDescent="0.2">
      <c r="A82" s="4"/>
      <c r="B82" s="4"/>
      <c r="C82" s="4"/>
      <c r="D82" s="4"/>
      <c r="E82" s="4"/>
    </row>
    <row r="83" spans="1:5" ht="18" customHeight="1" x14ac:dyDescent="0.2">
      <c r="A83" s="4"/>
      <c r="B83" s="4"/>
      <c r="C83" s="4"/>
      <c r="D83" s="4"/>
      <c r="E83" s="4"/>
    </row>
    <row r="84" spans="1:5" ht="18" customHeight="1" x14ac:dyDescent="0.2">
      <c r="A84" s="4"/>
      <c r="B84" s="4"/>
      <c r="C84" s="4"/>
      <c r="D84" s="4"/>
      <c r="E84" s="4"/>
    </row>
    <row r="85" spans="1:5" ht="18" customHeight="1" x14ac:dyDescent="0.2">
      <c r="A85" s="4"/>
      <c r="B85" s="4"/>
      <c r="C85" s="4"/>
      <c r="D85" s="4"/>
      <c r="E85" s="4"/>
    </row>
    <row r="86" spans="1:5" ht="18" customHeight="1" x14ac:dyDescent="0.2">
      <c r="A86" s="4"/>
      <c r="B86" s="4"/>
      <c r="C86" s="4"/>
      <c r="D86" s="4"/>
      <c r="E86" s="4"/>
    </row>
    <row r="87" spans="1:5" ht="18" customHeight="1" x14ac:dyDescent="0.2">
      <c r="A87" s="4"/>
      <c r="B87" s="4"/>
      <c r="C87" s="4"/>
      <c r="D87" s="4"/>
      <c r="E87" s="4"/>
    </row>
    <row r="88" spans="1:5" ht="18" customHeight="1" x14ac:dyDescent="0.2">
      <c r="A88" s="4"/>
      <c r="B88" s="4"/>
      <c r="C88" s="4"/>
      <c r="D88" s="4"/>
      <c r="E88" s="4"/>
    </row>
    <row r="89" spans="1:5" ht="18" customHeight="1" x14ac:dyDescent="0.2">
      <c r="A89" s="4"/>
      <c r="B89" s="4"/>
      <c r="C89" s="4"/>
      <c r="D89" s="4"/>
      <c r="E89" s="4"/>
    </row>
    <row r="90" spans="1:5" ht="18" customHeight="1" x14ac:dyDescent="0.2">
      <c r="A90" s="4"/>
      <c r="B90" s="4"/>
      <c r="C90" s="4"/>
      <c r="D90" s="4"/>
      <c r="E90" s="4"/>
    </row>
    <row r="91" spans="1:5" ht="18" customHeight="1" x14ac:dyDescent="0.2">
      <c r="A91" s="4"/>
      <c r="B91" s="4"/>
      <c r="C91" s="4"/>
      <c r="D91" s="4"/>
      <c r="E91" s="4"/>
    </row>
    <row r="92" spans="1:5" ht="18" customHeight="1" x14ac:dyDescent="0.2">
      <c r="A92" s="4"/>
      <c r="B92" s="4"/>
      <c r="C92" s="4"/>
      <c r="D92" s="4"/>
      <c r="E92" s="4"/>
    </row>
    <row r="93" spans="1:5" ht="18" customHeight="1" x14ac:dyDescent="0.2">
      <c r="A93" s="4"/>
      <c r="B93" s="4"/>
      <c r="C93" s="4"/>
      <c r="D93" s="4"/>
      <c r="E93" s="4"/>
    </row>
    <row r="94" spans="1:5" ht="18" customHeight="1" x14ac:dyDescent="0.2">
      <c r="A94" s="4"/>
      <c r="B94" s="4"/>
      <c r="C94" s="4"/>
      <c r="D94" s="4"/>
      <c r="E94" s="4"/>
    </row>
    <row r="95" spans="1:5" ht="18" customHeight="1" x14ac:dyDescent="0.2">
      <c r="A95" s="4"/>
      <c r="B95" s="4"/>
      <c r="C95" s="4"/>
      <c r="D95" s="4"/>
      <c r="E95" s="4"/>
    </row>
    <row r="96" spans="1:5" ht="18" customHeight="1" x14ac:dyDescent="0.2">
      <c r="A96" s="4"/>
      <c r="B96" s="4"/>
      <c r="C96" s="4"/>
      <c r="D96" s="4"/>
      <c r="E96" s="4"/>
    </row>
    <row r="97" spans="1:5" ht="18" customHeight="1" x14ac:dyDescent="0.2">
      <c r="A97" s="4"/>
      <c r="B97" s="4"/>
      <c r="C97" s="4"/>
      <c r="D97" s="4"/>
      <c r="E97" s="4"/>
    </row>
    <row r="98" spans="1:5" ht="18" customHeight="1" x14ac:dyDescent="0.2">
      <c r="A98" s="4"/>
      <c r="B98" s="4"/>
      <c r="C98" s="4"/>
      <c r="D98" s="4"/>
      <c r="E98" s="4"/>
    </row>
    <row r="99" spans="1:5" ht="18" customHeight="1" x14ac:dyDescent="0.2">
      <c r="A99" s="4"/>
      <c r="B99" s="4"/>
      <c r="C99" s="4"/>
      <c r="D99" s="4"/>
      <c r="E99" s="4"/>
    </row>
    <row r="100" spans="1:5" ht="18" customHeight="1" x14ac:dyDescent="0.2">
      <c r="A100" s="4"/>
      <c r="B100" s="4"/>
      <c r="C100" s="4"/>
      <c r="D100" s="4"/>
      <c r="E100" s="4"/>
    </row>
    <row r="101" spans="1:5" ht="18" customHeight="1" x14ac:dyDescent="0.2">
      <c r="A101" s="4"/>
      <c r="B101" s="4"/>
      <c r="C101" s="4"/>
      <c r="D101" s="4"/>
      <c r="E101" s="4"/>
    </row>
    <row r="102" spans="1:5" ht="18" customHeight="1" x14ac:dyDescent="0.2">
      <c r="A102" s="4"/>
      <c r="B102" s="4"/>
      <c r="C102" s="4"/>
      <c r="D102" s="4"/>
      <c r="E102" s="4"/>
    </row>
    <row r="103" spans="1:5" ht="18" customHeight="1" x14ac:dyDescent="0.2">
      <c r="A103" s="4"/>
      <c r="B103" s="4"/>
      <c r="C103" s="4"/>
      <c r="D103" s="4"/>
      <c r="E103" s="4"/>
    </row>
    <row r="104" spans="1:5" ht="18" customHeight="1" x14ac:dyDescent="0.2">
      <c r="A104" s="4"/>
      <c r="B104" s="4"/>
      <c r="C104" s="4"/>
      <c r="D104" s="4"/>
      <c r="E104" s="4"/>
    </row>
    <row r="105" spans="1:5" ht="18" customHeight="1" x14ac:dyDescent="0.2">
      <c r="A105" s="4"/>
      <c r="B105" s="4"/>
      <c r="C105" s="4"/>
      <c r="D105" s="4"/>
      <c r="E105" s="4"/>
    </row>
    <row r="106" spans="1:5" ht="18" customHeight="1" x14ac:dyDescent="0.2">
      <c r="A106" s="4"/>
      <c r="B106" s="4"/>
      <c r="C106" s="4"/>
      <c r="D106" s="4"/>
      <c r="E106" s="4"/>
    </row>
    <row r="107" spans="1:5" ht="18" customHeight="1" x14ac:dyDescent="0.2">
      <c r="A107" s="4"/>
      <c r="B107" s="4"/>
      <c r="C107" s="4"/>
      <c r="D107" s="4"/>
      <c r="E107" s="4"/>
    </row>
    <row r="108" spans="1:5" ht="18" customHeight="1" x14ac:dyDescent="0.2">
      <c r="A108" s="4"/>
      <c r="B108" s="4"/>
      <c r="C108" s="4"/>
      <c r="D108" s="4"/>
      <c r="E108" s="4"/>
    </row>
    <row r="109" spans="1:5" ht="18" customHeight="1" x14ac:dyDescent="0.2">
      <c r="A109" s="4"/>
      <c r="B109" s="4"/>
      <c r="C109" s="4"/>
      <c r="D109" s="4"/>
      <c r="E109" s="4"/>
    </row>
    <row r="110" spans="1:5" ht="18" customHeight="1" x14ac:dyDescent="0.2">
      <c r="A110" s="4"/>
      <c r="B110" s="4"/>
      <c r="C110" s="4"/>
      <c r="D110" s="4"/>
      <c r="E110" s="4"/>
    </row>
    <row r="111" spans="1:5" ht="18" customHeight="1" x14ac:dyDescent="0.2">
      <c r="A111" s="4"/>
      <c r="B111" s="4"/>
      <c r="C111" s="4"/>
      <c r="D111" s="4"/>
      <c r="E111" s="4"/>
    </row>
    <row r="112" spans="1:5" ht="18" customHeight="1" x14ac:dyDescent="0.2">
      <c r="A112" s="4"/>
      <c r="B112" s="4"/>
      <c r="C112" s="4"/>
      <c r="D112" s="4"/>
      <c r="E112" s="4"/>
    </row>
    <row r="113" spans="1:5" ht="18" customHeight="1" x14ac:dyDescent="0.2">
      <c r="A113" s="4"/>
      <c r="B113" s="4"/>
      <c r="C113" s="4"/>
      <c r="D113" s="4"/>
      <c r="E113" s="4"/>
    </row>
    <row r="114" spans="1:5" ht="18" customHeight="1" x14ac:dyDescent="0.2">
      <c r="A114" s="4"/>
      <c r="B114" s="4"/>
      <c r="C114" s="4"/>
      <c r="D114" s="4"/>
      <c r="E114" s="4"/>
    </row>
    <row r="115" spans="1:5" ht="18" customHeight="1" x14ac:dyDescent="0.2">
      <c r="A115" s="4"/>
      <c r="B115" s="4"/>
      <c r="C115" s="4"/>
      <c r="D115" s="4"/>
      <c r="E115" s="4"/>
    </row>
    <row r="116" spans="1:5" ht="18" customHeight="1" x14ac:dyDescent="0.2">
      <c r="A116" s="4"/>
      <c r="B116" s="4"/>
      <c r="C116" s="4"/>
      <c r="D116" s="4"/>
      <c r="E116" s="4"/>
    </row>
    <row r="117" spans="1:5" ht="18" customHeight="1" x14ac:dyDescent="0.2">
      <c r="A117" s="4"/>
      <c r="B117" s="4"/>
      <c r="C117" s="4"/>
      <c r="D117" s="4"/>
      <c r="E117" s="4"/>
    </row>
    <row r="118" spans="1:5" ht="18" customHeight="1" x14ac:dyDescent="0.2">
      <c r="A118" s="4"/>
      <c r="B118" s="4"/>
      <c r="C118" s="4"/>
      <c r="D118" s="4"/>
      <c r="E118" s="4"/>
    </row>
    <row r="119" spans="1:5" ht="18" customHeight="1" x14ac:dyDescent="0.2">
      <c r="A119" s="4"/>
      <c r="B119" s="4"/>
      <c r="C119" s="4"/>
      <c r="D119" s="4"/>
      <c r="E119" s="4"/>
    </row>
    <row r="120" spans="1:5" ht="18" customHeight="1" x14ac:dyDescent="0.2">
      <c r="A120" s="4"/>
      <c r="B120" s="4"/>
      <c r="C120" s="4"/>
      <c r="D120" s="4"/>
      <c r="E120" s="4"/>
    </row>
    <row r="121" spans="1:5" ht="18" customHeight="1" x14ac:dyDescent="0.2">
      <c r="A121" s="4"/>
      <c r="B121" s="4"/>
      <c r="C121" s="4"/>
      <c r="D121" s="4"/>
      <c r="E121" s="4"/>
    </row>
    <row r="122" spans="1:5" ht="18" customHeight="1" x14ac:dyDescent="0.2">
      <c r="A122" s="4"/>
      <c r="B122" s="4"/>
      <c r="C122" s="4"/>
      <c r="D122" s="4"/>
      <c r="E122" s="4"/>
    </row>
    <row r="123" spans="1:5" ht="18" customHeight="1" x14ac:dyDescent="0.2">
      <c r="A123" s="4"/>
      <c r="B123" s="4"/>
      <c r="C123" s="4"/>
      <c r="D123" s="4"/>
      <c r="E123" s="4"/>
    </row>
    <row r="124" spans="1:5" ht="18" customHeight="1" x14ac:dyDescent="0.2">
      <c r="A124" s="4"/>
      <c r="B124" s="4"/>
      <c r="C124" s="4"/>
      <c r="D124" s="4"/>
      <c r="E124" s="4"/>
    </row>
    <row r="125" spans="1:5" ht="18" customHeight="1" x14ac:dyDescent="0.2">
      <c r="A125" s="4"/>
      <c r="B125" s="4"/>
      <c r="C125" s="4"/>
      <c r="D125" s="4"/>
      <c r="E125" s="4"/>
    </row>
    <row r="126" spans="1:5" ht="18" customHeight="1" x14ac:dyDescent="0.2">
      <c r="A126" s="4"/>
      <c r="B126" s="4"/>
      <c r="C126" s="4"/>
      <c r="D126" s="4"/>
      <c r="E126" s="4"/>
    </row>
    <row r="127" spans="1:5" ht="18" customHeight="1" x14ac:dyDescent="0.2">
      <c r="A127" s="4"/>
      <c r="B127" s="4"/>
      <c r="C127" s="4"/>
      <c r="D127" s="4"/>
      <c r="E127" s="4"/>
    </row>
    <row r="128" spans="1:5" ht="18" customHeight="1" x14ac:dyDescent="0.2">
      <c r="A128" s="4"/>
      <c r="B128" s="4"/>
      <c r="C128" s="4"/>
      <c r="D128" s="4"/>
      <c r="E128" s="4"/>
    </row>
    <row r="129" spans="1:5" ht="18" customHeight="1" x14ac:dyDescent="0.2">
      <c r="A129" s="4"/>
      <c r="B129" s="4"/>
      <c r="C129" s="4"/>
      <c r="D129" s="4"/>
      <c r="E129" s="4"/>
    </row>
    <row r="130" spans="1:5" ht="18" customHeight="1" x14ac:dyDescent="0.2">
      <c r="A130" s="4"/>
      <c r="B130" s="4"/>
      <c r="C130" s="4"/>
      <c r="D130" s="4"/>
      <c r="E130" s="4"/>
    </row>
    <row r="131" spans="1:5" ht="18" customHeight="1" x14ac:dyDescent="0.2">
      <c r="A131" s="4"/>
      <c r="B131" s="4"/>
      <c r="C131" s="4"/>
      <c r="D131" s="4"/>
      <c r="E131" s="4"/>
    </row>
    <row r="132" spans="1:5" ht="18" customHeight="1" x14ac:dyDescent="0.2">
      <c r="A132" s="4"/>
      <c r="B132" s="4"/>
      <c r="C132" s="4"/>
      <c r="D132" s="4"/>
      <c r="E132" s="4"/>
    </row>
    <row r="133" spans="1:5" ht="18" customHeight="1" x14ac:dyDescent="0.2">
      <c r="A133" s="4"/>
      <c r="B133" s="4"/>
      <c r="C133" s="4"/>
      <c r="D133" s="4"/>
      <c r="E133" s="4"/>
    </row>
    <row r="134" spans="1:5" ht="18" customHeight="1" x14ac:dyDescent="0.2">
      <c r="A134" s="4"/>
      <c r="B134" s="4"/>
      <c r="C134" s="4"/>
      <c r="D134" s="4"/>
      <c r="E134" s="4"/>
    </row>
    <row r="135" spans="1:5" ht="18" customHeight="1" x14ac:dyDescent="0.2">
      <c r="A135" s="4"/>
      <c r="B135" s="4"/>
      <c r="C135" s="4"/>
      <c r="D135" s="4"/>
      <c r="E135" s="4"/>
    </row>
    <row r="136" spans="1:5" ht="18" customHeight="1" x14ac:dyDescent="0.2">
      <c r="A136" s="4"/>
      <c r="B136" s="4"/>
      <c r="C136" s="4"/>
      <c r="D136" s="4"/>
      <c r="E136" s="4"/>
    </row>
    <row r="137" spans="1:5" ht="18" customHeight="1" x14ac:dyDescent="0.2">
      <c r="A137" s="4"/>
      <c r="B137" s="4"/>
      <c r="C137" s="4"/>
      <c r="D137" s="4"/>
      <c r="E137" s="4"/>
    </row>
    <row r="138" spans="1:5" ht="18" customHeight="1" x14ac:dyDescent="0.2">
      <c r="A138" s="4"/>
      <c r="B138" s="4"/>
      <c r="C138" s="4"/>
      <c r="D138" s="4"/>
      <c r="E138" s="4"/>
    </row>
    <row r="139" spans="1:5" ht="18" customHeight="1" x14ac:dyDescent="0.2">
      <c r="A139" s="4"/>
      <c r="B139" s="4"/>
      <c r="C139" s="4"/>
      <c r="D139" s="4"/>
      <c r="E139" s="4"/>
    </row>
    <row r="140" spans="1:5" ht="18" customHeight="1" x14ac:dyDescent="0.2">
      <c r="A140" s="4"/>
      <c r="B140" s="4"/>
      <c r="C140" s="4"/>
      <c r="D140" s="4"/>
      <c r="E140" s="4"/>
    </row>
    <row r="141" spans="1:5" ht="18" customHeight="1" x14ac:dyDescent="0.2">
      <c r="A141" s="4"/>
      <c r="B141" s="4"/>
      <c r="C141" s="4"/>
      <c r="D141" s="4"/>
      <c r="E141" s="4"/>
    </row>
    <row r="142" spans="1:5" ht="18" customHeight="1" x14ac:dyDescent="0.2">
      <c r="A142" s="4"/>
      <c r="B142" s="4"/>
      <c r="C142" s="4"/>
      <c r="D142" s="4"/>
      <c r="E142" s="4"/>
    </row>
    <row r="143" spans="1:5" ht="18" customHeight="1" x14ac:dyDescent="0.2">
      <c r="A143" s="4"/>
      <c r="B143" s="4"/>
      <c r="C143" s="4"/>
      <c r="D143" s="4"/>
      <c r="E143" s="4"/>
    </row>
    <row r="144" spans="1:5" ht="18" customHeight="1" x14ac:dyDescent="0.2">
      <c r="A144" s="4"/>
      <c r="B144" s="4"/>
      <c r="C144" s="4"/>
      <c r="D144" s="4"/>
      <c r="E144" s="4"/>
    </row>
    <row r="145" spans="1:5" ht="18" customHeight="1" x14ac:dyDescent="0.2">
      <c r="A145" s="4"/>
      <c r="B145" s="4"/>
      <c r="C145" s="4"/>
      <c r="D145" s="4"/>
      <c r="E145" s="4"/>
    </row>
    <row r="146" spans="1:5" ht="18" customHeight="1" x14ac:dyDescent="0.2">
      <c r="A146" s="4"/>
      <c r="B146" s="4"/>
      <c r="C146" s="4"/>
      <c r="D146" s="4"/>
      <c r="E146" s="4"/>
    </row>
    <row r="147" spans="1:5" ht="18" customHeight="1" x14ac:dyDescent="0.2">
      <c r="A147" s="4"/>
      <c r="B147" s="4"/>
      <c r="C147" s="4"/>
      <c r="D147" s="4"/>
      <c r="E147" s="4"/>
    </row>
    <row r="148" spans="1:5" ht="18" customHeight="1" x14ac:dyDescent="0.2">
      <c r="A148" s="4"/>
      <c r="B148" s="4"/>
      <c r="C148" s="4"/>
      <c r="D148" s="4"/>
      <c r="E148" s="4"/>
    </row>
    <row r="149" spans="1:5" ht="18" customHeight="1" x14ac:dyDescent="0.2">
      <c r="A149" s="4"/>
      <c r="B149" s="4"/>
      <c r="C149" s="4"/>
      <c r="D149" s="4"/>
      <c r="E149" s="4"/>
    </row>
    <row r="150" spans="1:5" ht="18" customHeight="1" x14ac:dyDescent="0.2">
      <c r="A150" s="4"/>
      <c r="B150" s="4"/>
      <c r="C150" s="4"/>
      <c r="D150" s="4"/>
      <c r="E150" s="4"/>
    </row>
    <row r="151" spans="1:5" ht="18" customHeight="1" x14ac:dyDescent="0.2">
      <c r="A151" s="4"/>
      <c r="B151" s="4"/>
      <c r="C151" s="4"/>
      <c r="D151" s="4"/>
      <c r="E151" s="4"/>
    </row>
    <row r="152" spans="1:5" ht="18" customHeight="1" x14ac:dyDescent="0.2">
      <c r="A152" s="4"/>
      <c r="B152" s="4"/>
      <c r="C152" s="4"/>
      <c r="D152" s="4"/>
      <c r="E152" s="4"/>
    </row>
    <row r="153" spans="1:5" ht="18" customHeight="1" x14ac:dyDescent="0.2">
      <c r="A153" s="4"/>
      <c r="B153" s="4"/>
      <c r="C153" s="4"/>
      <c r="D153" s="4"/>
      <c r="E153" s="4"/>
    </row>
    <row r="154" spans="1:5" ht="18" customHeight="1" x14ac:dyDescent="0.2">
      <c r="A154" s="4"/>
      <c r="B154" s="4"/>
      <c r="C154" s="4"/>
      <c r="D154" s="4"/>
      <c r="E154" s="4"/>
    </row>
    <row r="155" spans="1:5" ht="18" customHeight="1" x14ac:dyDescent="0.2">
      <c r="A155" s="4"/>
      <c r="B155" s="4"/>
      <c r="C155" s="4"/>
      <c r="D155" s="4"/>
      <c r="E155" s="4"/>
    </row>
    <row r="156" spans="1:5" ht="18" customHeight="1" x14ac:dyDescent="0.2">
      <c r="A156" s="4"/>
      <c r="B156" s="4"/>
      <c r="C156" s="4"/>
      <c r="D156" s="4"/>
      <c r="E156" s="4"/>
    </row>
    <row r="157" spans="1:5" ht="18" customHeight="1" x14ac:dyDescent="0.2">
      <c r="A157" s="4"/>
      <c r="B157" s="4"/>
      <c r="C157" s="4"/>
      <c r="D157" s="4"/>
      <c r="E157" s="4"/>
    </row>
    <row r="158" spans="1:5" ht="18" customHeight="1" x14ac:dyDescent="0.2">
      <c r="A158" s="4"/>
      <c r="B158" s="4"/>
      <c r="C158" s="4"/>
      <c r="D158" s="4"/>
      <c r="E158" s="4"/>
    </row>
    <row r="159" spans="1:5" ht="18" customHeight="1" x14ac:dyDescent="0.2">
      <c r="A159" s="4"/>
      <c r="B159" s="4"/>
      <c r="C159" s="4"/>
      <c r="D159" s="4"/>
      <c r="E159" s="4"/>
    </row>
    <row r="160" spans="1:5" ht="18" customHeight="1" x14ac:dyDescent="0.2">
      <c r="A160" s="4"/>
      <c r="B160" s="4"/>
      <c r="C160" s="4"/>
      <c r="D160" s="4"/>
      <c r="E160" s="4"/>
    </row>
    <row r="161" spans="1:5" ht="18" customHeight="1" x14ac:dyDescent="0.2">
      <c r="A161" s="4"/>
      <c r="B161" s="4"/>
      <c r="C161" s="4"/>
      <c r="D161" s="4"/>
      <c r="E161" s="4"/>
    </row>
    <row r="162" spans="1:5" ht="18" customHeight="1" x14ac:dyDescent="0.2">
      <c r="A162" s="4"/>
      <c r="B162" s="4"/>
      <c r="C162" s="4"/>
      <c r="D162" s="4"/>
      <c r="E162" s="4"/>
    </row>
    <row r="163" spans="1:5" ht="18" customHeight="1" x14ac:dyDescent="0.2">
      <c r="A163" s="4"/>
      <c r="B163" s="4"/>
      <c r="C163" s="4"/>
      <c r="D163" s="4"/>
      <c r="E163" s="4"/>
    </row>
    <row r="164" spans="1:5" ht="18" customHeight="1" x14ac:dyDescent="0.2">
      <c r="A164" s="4"/>
      <c r="B164" s="4"/>
      <c r="C164" s="4"/>
      <c r="D164" s="4"/>
      <c r="E164" s="4"/>
    </row>
    <row r="165" spans="1:5" ht="18" customHeight="1" x14ac:dyDescent="0.2">
      <c r="A165" s="4"/>
      <c r="B165" s="4"/>
      <c r="C165" s="4"/>
      <c r="D165" s="4"/>
      <c r="E165" s="4"/>
    </row>
    <row r="166" spans="1:5" ht="18" customHeight="1" x14ac:dyDescent="0.2">
      <c r="A166" s="4"/>
      <c r="B166" s="4"/>
      <c r="C166" s="4"/>
      <c r="D166" s="4"/>
      <c r="E166" s="4"/>
    </row>
    <row r="167" spans="1:5" ht="18" customHeight="1" x14ac:dyDescent="0.2">
      <c r="A167" s="4"/>
      <c r="B167" s="4"/>
      <c r="C167" s="4"/>
      <c r="D167" s="4"/>
      <c r="E167" s="4"/>
    </row>
    <row r="168" spans="1:5" ht="18" customHeight="1" x14ac:dyDescent="0.2">
      <c r="A168" s="4"/>
      <c r="B168" s="4"/>
      <c r="C168" s="4"/>
      <c r="D168" s="4"/>
      <c r="E168" s="4"/>
    </row>
    <row r="169" spans="1:5" ht="18" customHeight="1" x14ac:dyDescent="0.2">
      <c r="A169" s="4"/>
      <c r="B169" s="4"/>
      <c r="C169" s="4"/>
      <c r="D169" s="4"/>
      <c r="E169" s="4"/>
    </row>
    <row r="170" spans="1:5" ht="18" customHeight="1" x14ac:dyDescent="0.2">
      <c r="A170" s="4"/>
      <c r="B170" s="4"/>
      <c r="C170" s="4"/>
      <c r="D170" s="4"/>
      <c r="E170" s="4"/>
    </row>
    <row r="171" spans="1:5" ht="18" customHeight="1" x14ac:dyDescent="0.2">
      <c r="A171" s="4"/>
      <c r="B171" s="4"/>
      <c r="C171" s="4"/>
      <c r="D171" s="4"/>
      <c r="E171" s="4"/>
    </row>
    <row r="172" spans="1:5" ht="18" customHeight="1" x14ac:dyDescent="0.2">
      <c r="A172" s="4"/>
      <c r="B172" s="4"/>
      <c r="C172" s="4"/>
      <c r="D172" s="4"/>
      <c r="E172" s="4"/>
    </row>
    <row r="173" spans="1:5" ht="18" customHeight="1" x14ac:dyDescent="0.2">
      <c r="A173" s="4"/>
      <c r="B173" s="4"/>
      <c r="C173" s="4"/>
      <c r="D173" s="4"/>
      <c r="E173" s="4"/>
    </row>
    <row r="174" spans="1:5" ht="18" customHeight="1" x14ac:dyDescent="0.2">
      <c r="A174" s="4"/>
      <c r="B174" s="4"/>
      <c r="C174" s="4"/>
      <c r="D174" s="4"/>
      <c r="E174" s="4"/>
    </row>
    <row r="175" spans="1:5" ht="18" customHeight="1" x14ac:dyDescent="0.2">
      <c r="A175" s="4"/>
      <c r="B175" s="4"/>
      <c r="C175" s="4"/>
      <c r="D175" s="4"/>
      <c r="E175" s="4"/>
    </row>
    <row r="176" spans="1:5" ht="18" customHeight="1" x14ac:dyDescent="0.2">
      <c r="A176" s="4"/>
      <c r="B176" s="4"/>
      <c r="C176" s="4"/>
      <c r="D176" s="4"/>
      <c r="E176" s="4"/>
    </row>
    <row r="177" spans="1:5" ht="18" customHeight="1" x14ac:dyDescent="0.2">
      <c r="A177" s="4"/>
      <c r="B177" s="4"/>
      <c r="C177" s="4"/>
      <c r="D177" s="4"/>
      <c r="E177" s="4"/>
    </row>
    <row r="178" spans="1:5" ht="18" customHeight="1" x14ac:dyDescent="0.2">
      <c r="A178" s="4"/>
      <c r="B178" s="4"/>
      <c r="C178" s="4"/>
      <c r="D178" s="4"/>
      <c r="E178" s="4"/>
    </row>
    <row r="179" spans="1:5" ht="18" customHeight="1" x14ac:dyDescent="0.2">
      <c r="A179" s="4"/>
      <c r="B179" s="4"/>
      <c r="C179" s="4"/>
      <c r="D179" s="4"/>
      <c r="E179" s="4"/>
    </row>
    <row r="180" spans="1:5" ht="18" customHeight="1" x14ac:dyDescent="0.2">
      <c r="A180" s="4"/>
      <c r="B180" s="4"/>
      <c r="C180" s="4"/>
      <c r="D180" s="4"/>
      <c r="E180" s="4"/>
    </row>
    <row r="181" spans="1:5" ht="18" customHeight="1" x14ac:dyDescent="0.2">
      <c r="A181" s="4"/>
      <c r="B181" s="4"/>
      <c r="C181" s="4"/>
      <c r="D181" s="4"/>
      <c r="E181" s="4"/>
    </row>
    <row r="182" spans="1:5" ht="18" customHeight="1" x14ac:dyDescent="0.2">
      <c r="A182" s="4"/>
      <c r="B182" s="4"/>
      <c r="C182" s="4"/>
      <c r="D182" s="4"/>
      <c r="E182" s="4"/>
    </row>
    <row r="183" spans="1:5" ht="18" customHeight="1" x14ac:dyDescent="0.2">
      <c r="A183" s="4"/>
      <c r="B183" s="4"/>
      <c r="C183" s="4"/>
      <c r="D183" s="4"/>
      <c r="E183" s="4"/>
    </row>
    <row r="184" spans="1:5" ht="18" customHeight="1" x14ac:dyDescent="0.2">
      <c r="A184" s="4"/>
      <c r="B184" s="4"/>
      <c r="C184" s="4"/>
      <c r="D184" s="4"/>
      <c r="E184" s="4"/>
    </row>
    <row r="185" spans="1:5" ht="18" customHeight="1" x14ac:dyDescent="0.2">
      <c r="A185" s="4"/>
      <c r="B185" s="4"/>
      <c r="C185" s="4"/>
      <c r="D185" s="4"/>
      <c r="E185" s="4"/>
    </row>
    <row r="186" spans="1:5" ht="18" customHeight="1" x14ac:dyDescent="0.2">
      <c r="A186" s="4"/>
      <c r="B186" s="4"/>
      <c r="C186" s="4"/>
      <c r="D186" s="4"/>
      <c r="E186" s="4"/>
    </row>
    <row r="187" spans="1:5" ht="18" customHeight="1" x14ac:dyDescent="0.2">
      <c r="A187" s="4"/>
      <c r="B187" s="4"/>
      <c r="C187" s="4"/>
      <c r="D187" s="4"/>
      <c r="E187" s="4"/>
    </row>
    <row r="188" spans="1:5" ht="18" customHeight="1" x14ac:dyDescent="0.2">
      <c r="A188" s="4"/>
      <c r="B188" s="4"/>
      <c r="C188" s="4"/>
      <c r="D188" s="4"/>
      <c r="E188" s="4"/>
    </row>
    <row r="189" spans="1:5" ht="18" customHeight="1" x14ac:dyDescent="0.2">
      <c r="A189" s="4"/>
      <c r="B189" s="4"/>
      <c r="C189" s="4"/>
      <c r="D189" s="4"/>
      <c r="E189" s="4"/>
    </row>
    <row r="190" spans="1:5" ht="18" customHeight="1" x14ac:dyDescent="0.2">
      <c r="A190" s="4"/>
      <c r="B190" s="4"/>
      <c r="C190" s="4"/>
      <c r="D190" s="4"/>
      <c r="E190" s="4"/>
    </row>
    <row r="191" spans="1:5" ht="18" customHeight="1" x14ac:dyDescent="0.2">
      <c r="A191" s="4"/>
      <c r="B191" s="4"/>
      <c r="C191" s="4"/>
      <c r="D191" s="4"/>
      <c r="E191" s="4"/>
    </row>
    <row r="192" spans="1:5" ht="18" customHeight="1" x14ac:dyDescent="0.2">
      <c r="A192" s="4"/>
      <c r="B192" s="4"/>
      <c r="C192" s="4"/>
      <c r="D192" s="4"/>
      <c r="E192" s="4"/>
    </row>
    <row r="193" spans="1:5" ht="18" customHeight="1" x14ac:dyDescent="0.2">
      <c r="A193" s="4"/>
      <c r="B193" s="4"/>
      <c r="C193" s="4"/>
      <c r="D193" s="4"/>
      <c r="E193" s="4"/>
    </row>
    <row r="194" spans="1:5" ht="18" customHeight="1" x14ac:dyDescent="0.2">
      <c r="A194" s="4"/>
      <c r="B194" s="4"/>
      <c r="C194" s="4"/>
      <c r="D194" s="4"/>
      <c r="E194" s="4"/>
    </row>
    <row r="195" spans="1:5" ht="18" customHeight="1" x14ac:dyDescent="0.2">
      <c r="A195" s="4"/>
      <c r="B195" s="4"/>
      <c r="C195" s="4"/>
      <c r="D195" s="4"/>
      <c r="E195" s="4"/>
    </row>
    <row r="196" spans="1:5" ht="18" customHeight="1" x14ac:dyDescent="0.2">
      <c r="A196" s="4"/>
      <c r="B196" s="4"/>
      <c r="C196" s="4"/>
      <c r="D196" s="4"/>
      <c r="E196" s="4"/>
    </row>
    <row r="197" spans="1:5" ht="18" customHeight="1" x14ac:dyDescent="0.2">
      <c r="A197" s="4"/>
      <c r="B197" s="4"/>
      <c r="C197" s="4"/>
      <c r="D197" s="4"/>
      <c r="E197" s="4"/>
    </row>
    <row r="198" spans="1:5" ht="18" customHeight="1" x14ac:dyDescent="0.2">
      <c r="A198" s="4"/>
      <c r="B198" s="4"/>
      <c r="C198" s="4"/>
      <c r="D198" s="4"/>
      <c r="E198" s="4"/>
    </row>
    <row r="199" spans="1:5" ht="18" customHeight="1" x14ac:dyDescent="0.2">
      <c r="A199" s="4"/>
      <c r="B199" s="4"/>
      <c r="C199" s="4"/>
      <c r="D199" s="4"/>
      <c r="E199" s="4"/>
    </row>
    <row r="200" spans="1:5" ht="18" customHeight="1" x14ac:dyDescent="0.2">
      <c r="A200" s="4"/>
      <c r="B200" s="4"/>
      <c r="C200" s="4"/>
      <c r="D200" s="4"/>
      <c r="E200" s="4"/>
    </row>
  </sheetData>
  <mergeCells count="2">
    <mergeCell ref="A2:E2"/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0"/>
  <sheetViews>
    <sheetView workbookViewId="0">
      <pane ySplit="3" topLeftCell="A4" activePane="bottomLeft" state="frozen"/>
      <selection pane="bottomLeft"/>
    </sheetView>
  </sheetViews>
  <sheetFormatPr defaultRowHeight="15" x14ac:dyDescent="0.2"/>
  <cols>
    <col min="1" max="1" width="29.99609375" customWidth="1"/>
    <col min="2" max="2" width="25.9609375" customWidth="1"/>
    <col min="3" max="3" width="13.98828125" customWidth="1"/>
    <col min="4" max="4" width="16.0078125" customWidth="1"/>
  </cols>
  <sheetData>
    <row r="1" spans="1:4" ht="27.95" customHeight="1" x14ac:dyDescent="0.2">
      <c r="A1" s="11" t="s">
        <v>92</v>
      </c>
      <c r="B1" s="8"/>
      <c r="C1" s="8"/>
      <c r="D1" s="8"/>
    </row>
    <row r="2" spans="1:4" ht="33.950000000000003" customHeight="1" x14ac:dyDescent="0.2">
      <c r="A2" s="12" t="s">
        <v>93</v>
      </c>
      <c r="B2" s="8"/>
      <c r="C2" s="8"/>
      <c r="D2" s="8"/>
    </row>
    <row r="3" spans="1:4" ht="21.95" customHeight="1" x14ac:dyDescent="0.2">
      <c r="A3" s="1" t="s">
        <v>94</v>
      </c>
      <c r="B3" s="1" t="s">
        <v>95</v>
      </c>
      <c r="C3" s="1" t="s">
        <v>96</v>
      </c>
      <c r="D3" s="1" t="s">
        <v>97</v>
      </c>
    </row>
    <row r="4" spans="1:4" ht="18" customHeight="1" x14ac:dyDescent="0.2">
      <c r="A4" s="4" t="s">
        <v>98</v>
      </c>
      <c r="B4" s="4" t="s">
        <v>65</v>
      </c>
      <c r="C4" s="4">
        <v>18500</v>
      </c>
      <c r="D4" s="4" t="s">
        <v>99</v>
      </c>
    </row>
    <row r="5" spans="1:4" ht="18" customHeight="1" x14ac:dyDescent="0.2">
      <c r="A5" s="4" t="s">
        <v>100</v>
      </c>
      <c r="B5" s="4" t="s">
        <v>68</v>
      </c>
      <c r="C5" s="4">
        <v>6200</v>
      </c>
      <c r="D5" s="4" t="s">
        <v>101</v>
      </c>
    </row>
    <row r="6" spans="1:4" ht="18" customHeight="1" x14ac:dyDescent="0.2">
      <c r="A6" s="4" t="s">
        <v>102</v>
      </c>
      <c r="B6" s="4" t="s">
        <v>70</v>
      </c>
      <c r="C6" s="4">
        <v>14800</v>
      </c>
      <c r="D6" s="4" t="s">
        <v>103</v>
      </c>
    </row>
    <row r="7" spans="1:4" ht="18" customHeight="1" x14ac:dyDescent="0.2">
      <c r="A7" s="4" t="s">
        <v>104</v>
      </c>
      <c r="B7" s="4" t="s">
        <v>105</v>
      </c>
      <c r="C7" s="4">
        <v>3900</v>
      </c>
      <c r="D7" s="4" t="s">
        <v>106</v>
      </c>
    </row>
    <row r="8" spans="1:4" ht="18" customHeight="1" x14ac:dyDescent="0.2">
      <c r="A8" s="4" t="s">
        <v>107</v>
      </c>
      <c r="B8" s="4" t="s">
        <v>80</v>
      </c>
      <c r="C8" s="4">
        <v>5200</v>
      </c>
      <c r="D8" s="4" t="s">
        <v>108</v>
      </c>
    </row>
    <row r="9" spans="1:4" ht="18" customHeight="1" x14ac:dyDescent="0.2">
      <c r="A9" s="4" t="s">
        <v>109</v>
      </c>
      <c r="B9" s="4" t="s">
        <v>74</v>
      </c>
      <c r="C9" s="4">
        <v>11200</v>
      </c>
      <c r="D9" s="4" t="s">
        <v>110</v>
      </c>
    </row>
    <row r="10" spans="1:4" ht="18" customHeight="1" x14ac:dyDescent="0.2">
      <c r="A10" s="4"/>
      <c r="B10" s="4"/>
      <c r="C10" s="4"/>
      <c r="D10" s="4"/>
    </row>
    <row r="11" spans="1:4" ht="18" customHeight="1" x14ac:dyDescent="0.2">
      <c r="A11" s="4"/>
      <c r="B11" s="4"/>
      <c r="C11" s="4"/>
      <c r="D11" s="4"/>
    </row>
    <row r="12" spans="1:4" ht="18" customHeight="1" x14ac:dyDescent="0.2">
      <c r="A12" s="4"/>
      <c r="B12" s="4"/>
      <c r="C12" s="4"/>
      <c r="D12" s="4"/>
    </row>
    <row r="13" spans="1:4" ht="18" customHeight="1" x14ac:dyDescent="0.2">
      <c r="A13" s="4"/>
      <c r="B13" s="4"/>
      <c r="C13" s="4"/>
      <c r="D13" s="4"/>
    </row>
    <row r="14" spans="1:4" ht="18" customHeight="1" x14ac:dyDescent="0.2">
      <c r="A14" s="4"/>
      <c r="B14" s="4"/>
      <c r="C14" s="4"/>
      <c r="D14" s="4"/>
    </row>
    <row r="15" spans="1:4" ht="18" customHeight="1" x14ac:dyDescent="0.2">
      <c r="A15" s="4"/>
      <c r="B15" s="4"/>
      <c r="C15" s="4"/>
      <c r="D15" s="4"/>
    </row>
    <row r="16" spans="1:4" ht="18" customHeight="1" x14ac:dyDescent="0.2">
      <c r="A16" s="4"/>
      <c r="B16" s="4"/>
      <c r="C16" s="4"/>
      <c r="D16" s="4"/>
    </row>
    <row r="17" spans="1:4" ht="18" customHeight="1" x14ac:dyDescent="0.2">
      <c r="A17" s="4"/>
      <c r="B17" s="4"/>
      <c r="C17" s="4"/>
      <c r="D17" s="4"/>
    </row>
    <row r="18" spans="1:4" ht="18" customHeight="1" x14ac:dyDescent="0.2">
      <c r="A18" s="4"/>
      <c r="B18" s="4"/>
      <c r="C18" s="4"/>
      <c r="D18" s="4"/>
    </row>
    <row r="19" spans="1:4" ht="18" customHeight="1" x14ac:dyDescent="0.2">
      <c r="A19" s="4"/>
      <c r="B19" s="4"/>
      <c r="C19" s="4"/>
      <c r="D19" s="4"/>
    </row>
    <row r="20" spans="1:4" ht="18" customHeight="1" x14ac:dyDescent="0.2">
      <c r="A20" s="4"/>
      <c r="B20" s="4"/>
      <c r="C20" s="4"/>
      <c r="D20" s="4"/>
    </row>
    <row r="21" spans="1:4" ht="18" customHeight="1" x14ac:dyDescent="0.2">
      <c r="A21" s="4"/>
      <c r="B21" s="4"/>
      <c r="C21" s="4"/>
      <c r="D21" s="4"/>
    </row>
    <row r="22" spans="1:4" ht="18" customHeight="1" x14ac:dyDescent="0.2">
      <c r="A22" s="4"/>
      <c r="B22" s="4"/>
      <c r="C22" s="4"/>
      <c r="D22" s="4"/>
    </row>
    <row r="23" spans="1:4" ht="18" customHeight="1" x14ac:dyDescent="0.2">
      <c r="A23" s="4"/>
      <c r="B23" s="4"/>
      <c r="C23" s="4"/>
      <c r="D23" s="4"/>
    </row>
    <row r="24" spans="1:4" ht="18" customHeight="1" x14ac:dyDescent="0.2">
      <c r="A24" s="4"/>
      <c r="B24" s="4"/>
      <c r="C24" s="4"/>
      <c r="D24" s="4"/>
    </row>
    <row r="25" spans="1:4" ht="18" customHeight="1" x14ac:dyDescent="0.2">
      <c r="A25" s="4"/>
      <c r="B25" s="4"/>
      <c r="C25" s="4"/>
      <c r="D25" s="4"/>
    </row>
    <row r="26" spans="1:4" ht="18" customHeight="1" x14ac:dyDescent="0.2">
      <c r="A26" s="4"/>
      <c r="B26" s="4"/>
      <c r="C26" s="4"/>
      <c r="D26" s="4"/>
    </row>
    <row r="27" spans="1:4" ht="18" customHeight="1" x14ac:dyDescent="0.2">
      <c r="A27" s="4"/>
      <c r="B27" s="4"/>
      <c r="C27" s="4"/>
      <c r="D27" s="4"/>
    </row>
    <row r="28" spans="1:4" ht="18" customHeight="1" x14ac:dyDescent="0.2">
      <c r="A28" s="4"/>
      <c r="B28" s="4"/>
      <c r="C28" s="4"/>
      <c r="D28" s="4"/>
    </row>
    <row r="29" spans="1:4" ht="18" customHeight="1" x14ac:dyDescent="0.2">
      <c r="A29" s="4"/>
      <c r="B29" s="4"/>
      <c r="C29" s="4"/>
      <c r="D29" s="4"/>
    </row>
    <row r="30" spans="1:4" ht="18" customHeight="1" x14ac:dyDescent="0.2">
      <c r="A30" s="4"/>
      <c r="B30" s="4"/>
      <c r="C30" s="4"/>
      <c r="D30" s="4"/>
    </row>
    <row r="31" spans="1:4" ht="18" customHeight="1" x14ac:dyDescent="0.2">
      <c r="A31" s="4"/>
      <c r="B31" s="4"/>
      <c r="C31" s="4"/>
      <c r="D31" s="4"/>
    </row>
    <row r="32" spans="1:4" ht="18" customHeight="1" x14ac:dyDescent="0.2">
      <c r="A32" s="4"/>
      <c r="B32" s="4"/>
      <c r="C32" s="4"/>
      <c r="D32" s="4"/>
    </row>
    <row r="33" spans="1:4" ht="18" customHeight="1" x14ac:dyDescent="0.2">
      <c r="A33" s="4"/>
      <c r="B33" s="4"/>
      <c r="C33" s="4"/>
      <c r="D33" s="4"/>
    </row>
    <row r="34" spans="1:4" ht="18" customHeight="1" x14ac:dyDescent="0.2">
      <c r="A34" s="4"/>
      <c r="B34" s="4"/>
      <c r="C34" s="4"/>
      <c r="D34" s="4"/>
    </row>
    <row r="35" spans="1:4" ht="18" customHeight="1" x14ac:dyDescent="0.2">
      <c r="A35" s="4"/>
      <c r="B35" s="4"/>
      <c r="C35" s="4"/>
      <c r="D35" s="4"/>
    </row>
    <row r="36" spans="1:4" ht="18" customHeight="1" x14ac:dyDescent="0.2">
      <c r="A36" s="4"/>
      <c r="B36" s="4"/>
      <c r="C36" s="4"/>
      <c r="D36" s="4"/>
    </row>
    <row r="37" spans="1:4" ht="18" customHeight="1" x14ac:dyDescent="0.2">
      <c r="A37" s="4"/>
      <c r="B37" s="4"/>
      <c r="C37" s="4"/>
      <c r="D37" s="4"/>
    </row>
    <row r="38" spans="1:4" ht="18" customHeight="1" x14ac:dyDescent="0.2">
      <c r="A38" s="4"/>
      <c r="B38" s="4"/>
      <c r="C38" s="4"/>
      <c r="D38" s="4"/>
    </row>
    <row r="39" spans="1:4" ht="18" customHeight="1" x14ac:dyDescent="0.2">
      <c r="A39" s="4"/>
      <c r="B39" s="4"/>
      <c r="C39" s="4"/>
      <c r="D39" s="4"/>
    </row>
    <row r="40" spans="1:4" ht="18" customHeight="1" x14ac:dyDescent="0.2">
      <c r="A40" s="4"/>
      <c r="B40" s="4"/>
      <c r="C40" s="4"/>
      <c r="D40" s="4"/>
    </row>
    <row r="41" spans="1:4" ht="18" customHeight="1" x14ac:dyDescent="0.2">
      <c r="A41" s="4"/>
      <c r="B41" s="4"/>
      <c r="C41" s="4"/>
      <c r="D41" s="4"/>
    </row>
    <row r="42" spans="1:4" ht="18" customHeight="1" x14ac:dyDescent="0.2">
      <c r="A42" s="4"/>
      <c r="B42" s="4"/>
      <c r="C42" s="4"/>
      <c r="D42" s="4"/>
    </row>
    <row r="43" spans="1:4" ht="18" customHeight="1" x14ac:dyDescent="0.2">
      <c r="A43" s="4"/>
      <c r="B43" s="4"/>
      <c r="C43" s="4"/>
      <c r="D43" s="4"/>
    </row>
    <row r="44" spans="1:4" ht="18" customHeight="1" x14ac:dyDescent="0.2">
      <c r="A44" s="4"/>
      <c r="B44" s="4"/>
      <c r="C44" s="4"/>
      <c r="D44" s="4"/>
    </row>
    <row r="45" spans="1:4" ht="18" customHeight="1" x14ac:dyDescent="0.2">
      <c r="A45" s="4"/>
      <c r="B45" s="4"/>
      <c r="C45" s="4"/>
      <c r="D45" s="4"/>
    </row>
    <row r="46" spans="1:4" ht="18" customHeight="1" x14ac:dyDescent="0.2">
      <c r="A46" s="4"/>
      <c r="B46" s="4"/>
      <c r="C46" s="4"/>
      <c r="D46" s="4"/>
    </row>
    <row r="47" spans="1:4" ht="18" customHeight="1" x14ac:dyDescent="0.2">
      <c r="A47" s="4"/>
      <c r="B47" s="4"/>
      <c r="C47" s="4"/>
      <c r="D47" s="4"/>
    </row>
    <row r="48" spans="1:4" ht="18" customHeight="1" x14ac:dyDescent="0.2">
      <c r="A48" s="4"/>
      <c r="B48" s="4"/>
      <c r="C48" s="4"/>
      <c r="D48" s="4"/>
    </row>
    <row r="49" spans="1:4" ht="18" customHeight="1" x14ac:dyDescent="0.2">
      <c r="A49" s="4"/>
      <c r="B49" s="4"/>
      <c r="C49" s="4"/>
      <c r="D49" s="4"/>
    </row>
    <row r="50" spans="1:4" ht="18" customHeight="1" x14ac:dyDescent="0.2">
      <c r="A50" s="4"/>
      <c r="B50" s="4"/>
      <c r="C50" s="4"/>
      <c r="D50" s="4"/>
    </row>
    <row r="51" spans="1:4" ht="18" customHeight="1" x14ac:dyDescent="0.2">
      <c r="A51" s="4"/>
      <c r="B51" s="4"/>
      <c r="C51" s="4"/>
      <c r="D51" s="4"/>
    </row>
    <row r="52" spans="1:4" ht="18" customHeight="1" x14ac:dyDescent="0.2">
      <c r="A52" s="4"/>
      <c r="B52" s="4"/>
      <c r="C52" s="4"/>
      <c r="D52" s="4"/>
    </row>
    <row r="53" spans="1:4" ht="18" customHeight="1" x14ac:dyDescent="0.2">
      <c r="A53" s="4"/>
      <c r="B53" s="4"/>
      <c r="C53" s="4"/>
      <c r="D53" s="4"/>
    </row>
    <row r="54" spans="1:4" ht="18" customHeight="1" x14ac:dyDescent="0.2">
      <c r="A54" s="4"/>
      <c r="B54" s="4"/>
      <c r="C54" s="4"/>
      <c r="D54" s="4"/>
    </row>
    <row r="55" spans="1:4" ht="18" customHeight="1" x14ac:dyDescent="0.2">
      <c r="A55" s="4"/>
      <c r="B55" s="4"/>
      <c r="C55" s="4"/>
      <c r="D55" s="4"/>
    </row>
    <row r="56" spans="1:4" ht="18" customHeight="1" x14ac:dyDescent="0.2">
      <c r="A56" s="4"/>
      <c r="B56" s="4"/>
      <c r="C56" s="4"/>
      <c r="D56" s="4"/>
    </row>
    <row r="57" spans="1:4" ht="18" customHeight="1" x14ac:dyDescent="0.2">
      <c r="A57" s="4"/>
      <c r="B57" s="4"/>
      <c r="C57" s="4"/>
      <c r="D57" s="4"/>
    </row>
    <row r="58" spans="1:4" ht="18" customHeight="1" x14ac:dyDescent="0.2">
      <c r="A58" s="4"/>
      <c r="B58" s="4"/>
      <c r="C58" s="4"/>
      <c r="D58" s="4"/>
    </row>
    <row r="59" spans="1:4" ht="18" customHeight="1" x14ac:dyDescent="0.2">
      <c r="A59" s="4"/>
      <c r="B59" s="4"/>
      <c r="C59" s="4"/>
      <c r="D59" s="4"/>
    </row>
    <row r="60" spans="1:4" ht="18" customHeight="1" x14ac:dyDescent="0.2">
      <c r="A60" s="4"/>
      <c r="B60" s="4"/>
      <c r="C60" s="4"/>
      <c r="D60" s="4"/>
    </row>
    <row r="61" spans="1:4" ht="18" customHeight="1" x14ac:dyDescent="0.2">
      <c r="A61" s="4"/>
      <c r="B61" s="4"/>
      <c r="C61" s="4"/>
      <c r="D61" s="4"/>
    </row>
    <row r="62" spans="1:4" ht="18" customHeight="1" x14ac:dyDescent="0.2">
      <c r="A62" s="4"/>
      <c r="B62" s="4"/>
      <c r="C62" s="4"/>
      <c r="D62" s="4"/>
    </row>
    <row r="63" spans="1:4" ht="18" customHeight="1" x14ac:dyDescent="0.2">
      <c r="A63" s="4"/>
      <c r="B63" s="4"/>
      <c r="C63" s="4"/>
      <c r="D63" s="4"/>
    </row>
    <row r="64" spans="1:4" ht="18" customHeight="1" x14ac:dyDescent="0.2">
      <c r="A64" s="4"/>
      <c r="B64" s="4"/>
      <c r="C64" s="4"/>
      <c r="D64" s="4"/>
    </row>
    <row r="65" spans="1:4" ht="18" customHeight="1" x14ac:dyDescent="0.2">
      <c r="A65" s="4"/>
      <c r="B65" s="4"/>
      <c r="C65" s="4"/>
      <c r="D65" s="4"/>
    </row>
    <row r="66" spans="1:4" ht="18" customHeight="1" x14ac:dyDescent="0.2">
      <c r="A66" s="4"/>
      <c r="B66" s="4"/>
      <c r="C66" s="4"/>
      <c r="D66" s="4"/>
    </row>
    <row r="67" spans="1:4" ht="18" customHeight="1" x14ac:dyDescent="0.2">
      <c r="A67" s="4"/>
      <c r="B67" s="4"/>
      <c r="C67" s="4"/>
      <c r="D67" s="4"/>
    </row>
    <row r="68" spans="1:4" ht="18" customHeight="1" x14ac:dyDescent="0.2">
      <c r="A68" s="4"/>
      <c r="B68" s="4"/>
      <c r="C68" s="4"/>
      <c r="D68" s="4"/>
    </row>
    <row r="69" spans="1:4" ht="18" customHeight="1" x14ac:dyDescent="0.2">
      <c r="A69" s="4"/>
      <c r="B69" s="4"/>
      <c r="C69" s="4"/>
      <c r="D69" s="4"/>
    </row>
    <row r="70" spans="1:4" ht="18" customHeight="1" x14ac:dyDescent="0.2">
      <c r="A70" s="4"/>
      <c r="B70" s="4"/>
      <c r="C70" s="4"/>
      <c r="D70" s="4"/>
    </row>
    <row r="71" spans="1:4" ht="18" customHeight="1" x14ac:dyDescent="0.2">
      <c r="A71" s="4"/>
      <c r="B71" s="4"/>
      <c r="C71" s="4"/>
      <c r="D71" s="4"/>
    </row>
    <row r="72" spans="1:4" ht="18" customHeight="1" x14ac:dyDescent="0.2">
      <c r="A72" s="4"/>
      <c r="B72" s="4"/>
      <c r="C72" s="4"/>
      <c r="D72" s="4"/>
    </row>
    <row r="73" spans="1:4" ht="18" customHeight="1" x14ac:dyDescent="0.2">
      <c r="A73" s="4"/>
      <c r="B73" s="4"/>
      <c r="C73" s="4"/>
      <c r="D73" s="4"/>
    </row>
    <row r="74" spans="1:4" ht="18" customHeight="1" x14ac:dyDescent="0.2">
      <c r="A74" s="4"/>
      <c r="B74" s="4"/>
      <c r="C74" s="4"/>
      <c r="D74" s="4"/>
    </row>
    <row r="75" spans="1:4" ht="18" customHeight="1" x14ac:dyDescent="0.2">
      <c r="A75" s="4"/>
      <c r="B75" s="4"/>
      <c r="C75" s="4"/>
      <c r="D75" s="4"/>
    </row>
    <row r="76" spans="1:4" ht="18" customHeight="1" x14ac:dyDescent="0.2">
      <c r="A76" s="4"/>
      <c r="B76" s="4"/>
      <c r="C76" s="4"/>
      <c r="D76" s="4"/>
    </row>
    <row r="77" spans="1:4" ht="18" customHeight="1" x14ac:dyDescent="0.2">
      <c r="A77" s="4"/>
      <c r="B77" s="4"/>
      <c r="C77" s="4"/>
      <c r="D77" s="4"/>
    </row>
    <row r="78" spans="1:4" ht="18" customHeight="1" x14ac:dyDescent="0.2">
      <c r="A78" s="4"/>
      <c r="B78" s="4"/>
      <c r="C78" s="4"/>
      <c r="D78" s="4"/>
    </row>
    <row r="79" spans="1:4" ht="18" customHeight="1" x14ac:dyDescent="0.2">
      <c r="A79" s="4"/>
      <c r="B79" s="4"/>
      <c r="C79" s="4"/>
      <c r="D79" s="4"/>
    </row>
    <row r="80" spans="1:4" ht="18" customHeight="1" x14ac:dyDescent="0.2">
      <c r="A80" s="4"/>
      <c r="B80" s="4"/>
      <c r="C80" s="4"/>
      <c r="D80" s="4"/>
    </row>
    <row r="81" spans="1:4" ht="18" customHeight="1" x14ac:dyDescent="0.2">
      <c r="A81" s="4"/>
      <c r="B81" s="4"/>
      <c r="C81" s="4"/>
      <c r="D81" s="4"/>
    </row>
    <row r="82" spans="1:4" ht="18" customHeight="1" x14ac:dyDescent="0.2">
      <c r="A82" s="4"/>
      <c r="B82" s="4"/>
      <c r="C82" s="4"/>
      <c r="D82" s="4"/>
    </row>
    <row r="83" spans="1:4" ht="18" customHeight="1" x14ac:dyDescent="0.2">
      <c r="A83" s="4"/>
      <c r="B83" s="4"/>
      <c r="C83" s="4"/>
      <c r="D83" s="4"/>
    </row>
    <row r="84" spans="1:4" ht="18" customHeight="1" x14ac:dyDescent="0.2">
      <c r="A84" s="4"/>
      <c r="B84" s="4"/>
      <c r="C84" s="4"/>
      <c r="D84" s="4"/>
    </row>
    <row r="85" spans="1:4" ht="18" customHeight="1" x14ac:dyDescent="0.2">
      <c r="A85" s="4"/>
      <c r="B85" s="4"/>
      <c r="C85" s="4"/>
      <c r="D85" s="4"/>
    </row>
    <row r="86" spans="1:4" ht="18" customHeight="1" x14ac:dyDescent="0.2">
      <c r="A86" s="4"/>
      <c r="B86" s="4"/>
      <c r="C86" s="4"/>
      <c r="D86" s="4"/>
    </row>
    <row r="87" spans="1:4" ht="18" customHeight="1" x14ac:dyDescent="0.2">
      <c r="A87" s="4"/>
      <c r="B87" s="4"/>
      <c r="C87" s="4"/>
      <c r="D87" s="4"/>
    </row>
    <row r="88" spans="1:4" ht="18" customHeight="1" x14ac:dyDescent="0.2">
      <c r="A88" s="4"/>
      <c r="B88" s="4"/>
      <c r="C88" s="4"/>
      <c r="D88" s="4"/>
    </row>
    <row r="89" spans="1:4" ht="18" customHeight="1" x14ac:dyDescent="0.2">
      <c r="A89" s="4"/>
      <c r="B89" s="4"/>
      <c r="C89" s="4"/>
      <c r="D89" s="4"/>
    </row>
    <row r="90" spans="1:4" ht="18" customHeight="1" x14ac:dyDescent="0.2">
      <c r="A90" s="4"/>
      <c r="B90" s="4"/>
      <c r="C90" s="4"/>
      <c r="D90" s="4"/>
    </row>
    <row r="91" spans="1:4" ht="18" customHeight="1" x14ac:dyDescent="0.2">
      <c r="A91" s="4"/>
      <c r="B91" s="4"/>
      <c r="C91" s="4"/>
      <c r="D91" s="4"/>
    </row>
    <row r="92" spans="1:4" ht="18" customHeight="1" x14ac:dyDescent="0.2">
      <c r="A92" s="4"/>
      <c r="B92" s="4"/>
      <c r="C92" s="4"/>
      <c r="D92" s="4"/>
    </row>
    <row r="93" spans="1:4" ht="18" customHeight="1" x14ac:dyDescent="0.2">
      <c r="A93" s="4"/>
      <c r="B93" s="4"/>
      <c r="C93" s="4"/>
      <c r="D93" s="4"/>
    </row>
    <row r="94" spans="1:4" ht="18" customHeight="1" x14ac:dyDescent="0.2">
      <c r="A94" s="4"/>
      <c r="B94" s="4"/>
      <c r="C94" s="4"/>
      <c r="D94" s="4"/>
    </row>
    <row r="95" spans="1:4" ht="18" customHeight="1" x14ac:dyDescent="0.2">
      <c r="A95" s="4"/>
      <c r="B95" s="4"/>
      <c r="C95" s="4"/>
      <c r="D95" s="4"/>
    </row>
    <row r="96" spans="1:4" ht="18" customHeight="1" x14ac:dyDescent="0.2">
      <c r="A96" s="4"/>
      <c r="B96" s="4"/>
      <c r="C96" s="4"/>
      <c r="D96" s="4"/>
    </row>
    <row r="97" spans="1:4" ht="18" customHeight="1" x14ac:dyDescent="0.2">
      <c r="A97" s="4"/>
      <c r="B97" s="4"/>
      <c r="C97" s="4"/>
      <c r="D97" s="4"/>
    </row>
    <row r="98" spans="1:4" ht="18" customHeight="1" x14ac:dyDescent="0.2">
      <c r="A98" s="4"/>
      <c r="B98" s="4"/>
      <c r="C98" s="4"/>
      <c r="D98" s="4"/>
    </row>
    <row r="99" spans="1:4" ht="18" customHeight="1" x14ac:dyDescent="0.2">
      <c r="A99" s="4"/>
      <c r="B99" s="4"/>
      <c r="C99" s="4"/>
      <c r="D99" s="4"/>
    </row>
    <row r="100" spans="1:4" ht="18" customHeight="1" x14ac:dyDescent="0.2">
      <c r="A100" s="4"/>
      <c r="B100" s="4"/>
      <c r="C100" s="4"/>
      <c r="D100" s="4"/>
    </row>
    <row r="101" spans="1:4" ht="18" customHeight="1" x14ac:dyDescent="0.2">
      <c r="A101" s="4"/>
      <c r="B101" s="4"/>
      <c r="C101" s="4"/>
      <c r="D101" s="4"/>
    </row>
    <row r="102" spans="1:4" ht="18" customHeight="1" x14ac:dyDescent="0.2">
      <c r="A102" s="4"/>
      <c r="B102" s="4"/>
      <c r="C102" s="4"/>
      <c r="D102" s="4"/>
    </row>
    <row r="103" spans="1:4" ht="18" customHeight="1" x14ac:dyDescent="0.2">
      <c r="A103" s="4"/>
      <c r="B103" s="4"/>
      <c r="C103" s="4"/>
      <c r="D103" s="4"/>
    </row>
    <row r="104" spans="1:4" ht="18" customHeight="1" x14ac:dyDescent="0.2">
      <c r="A104" s="4"/>
      <c r="B104" s="4"/>
      <c r="C104" s="4"/>
      <c r="D104" s="4"/>
    </row>
    <row r="105" spans="1:4" ht="18" customHeight="1" x14ac:dyDescent="0.2">
      <c r="A105" s="4"/>
      <c r="B105" s="4"/>
      <c r="C105" s="4"/>
      <c r="D105" s="4"/>
    </row>
    <row r="106" spans="1:4" ht="18" customHeight="1" x14ac:dyDescent="0.2">
      <c r="A106" s="4"/>
      <c r="B106" s="4"/>
      <c r="C106" s="4"/>
      <c r="D106" s="4"/>
    </row>
    <row r="107" spans="1:4" ht="18" customHeight="1" x14ac:dyDescent="0.2">
      <c r="A107" s="4"/>
      <c r="B107" s="4"/>
      <c r="C107" s="4"/>
      <c r="D107" s="4"/>
    </row>
    <row r="108" spans="1:4" ht="18" customHeight="1" x14ac:dyDescent="0.2">
      <c r="A108" s="4"/>
      <c r="B108" s="4"/>
      <c r="C108" s="4"/>
      <c r="D108" s="4"/>
    </row>
    <row r="109" spans="1:4" ht="18" customHeight="1" x14ac:dyDescent="0.2">
      <c r="A109" s="4"/>
      <c r="B109" s="4"/>
      <c r="C109" s="4"/>
      <c r="D109" s="4"/>
    </row>
    <row r="110" spans="1:4" ht="18" customHeight="1" x14ac:dyDescent="0.2">
      <c r="A110" s="4"/>
      <c r="B110" s="4"/>
      <c r="C110" s="4"/>
      <c r="D110" s="4"/>
    </row>
    <row r="111" spans="1:4" ht="18" customHeight="1" x14ac:dyDescent="0.2">
      <c r="A111" s="4"/>
      <c r="B111" s="4"/>
      <c r="C111" s="4"/>
      <c r="D111" s="4"/>
    </row>
    <row r="112" spans="1:4" ht="18" customHeight="1" x14ac:dyDescent="0.2">
      <c r="A112" s="4"/>
      <c r="B112" s="4"/>
      <c r="C112" s="4"/>
      <c r="D112" s="4"/>
    </row>
    <row r="113" spans="1:4" ht="18" customHeight="1" x14ac:dyDescent="0.2">
      <c r="A113" s="4"/>
      <c r="B113" s="4"/>
      <c r="C113" s="4"/>
      <c r="D113" s="4"/>
    </row>
    <row r="114" spans="1:4" ht="18" customHeight="1" x14ac:dyDescent="0.2">
      <c r="A114" s="4"/>
      <c r="B114" s="4"/>
      <c r="C114" s="4"/>
      <c r="D114" s="4"/>
    </row>
    <row r="115" spans="1:4" ht="18" customHeight="1" x14ac:dyDescent="0.2">
      <c r="A115" s="4"/>
      <c r="B115" s="4"/>
      <c r="C115" s="4"/>
      <c r="D115" s="4"/>
    </row>
    <row r="116" spans="1:4" ht="18" customHeight="1" x14ac:dyDescent="0.2">
      <c r="A116" s="4"/>
      <c r="B116" s="4"/>
      <c r="C116" s="4"/>
      <c r="D116" s="4"/>
    </row>
    <row r="117" spans="1:4" ht="18" customHeight="1" x14ac:dyDescent="0.2">
      <c r="A117" s="4"/>
      <c r="B117" s="4"/>
      <c r="C117" s="4"/>
      <c r="D117" s="4"/>
    </row>
    <row r="118" spans="1:4" ht="18" customHeight="1" x14ac:dyDescent="0.2">
      <c r="A118" s="4"/>
      <c r="B118" s="4"/>
      <c r="C118" s="4"/>
      <c r="D118" s="4"/>
    </row>
    <row r="119" spans="1:4" ht="18" customHeight="1" x14ac:dyDescent="0.2">
      <c r="A119" s="4"/>
      <c r="B119" s="4"/>
      <c r="C119" s="4"/>
      <c r="D119" s="4"/>
    </row>
    <row r="120" spans="1:4" ht="18" customHeight="1" x14ac:dyDescent="0.2">
      <c r="A120" s="4"/>
      <c r="B120" s="4"/>
      <c r="C120" s="4"/>
      <c r="D120" s="4"/>
    </row>
    <row r="121" spans="1:4" ht="18" customHeight="1" x14ac:dyDescent="0.2">
      <c r="A121" s="4"/>
      <c r="B121" s="4"/>
      <c r="C121" s="4"/>
      <c r="D121" s="4"/>
    </row>
    <row r="122" spans="1:4" ht="18" customHeight="1" x14ac:dyDescent="0.2">
      <c r="A122" s="4"/>
      <c r="B122" s="4"/>
      <c r="C122" s="4"/>
      <c r="D122" s="4"/>
    </row>
    <row r="123" spans="1:4" ht="18" customHeight="1" x14ac:dyDescent="0.2">
      <c r="A123" s="4"/>
      <c r="B123" s="4"/>
      <c r="C123" s="4"/>
      <c r="D123" s="4"/>
    </row>
    <row r="124" spans="1:4" ht="18" customHeight="1" x14ac:dyDescent="0.2">
      <c r="A124" s="4"/>
      <c r="B124" s="4"/>
      <c r="C124" s="4"/>
      <c r="D124" s="4"/>
    </row>
    <row r="125" spans="1:4" ht="18" customHeight="1" x14ac:dyDescent="0.2">
      <c r="A125" s="4"/>
      <c r="B125" s="4"/>
      <c r="C125" s="4"/>
      <c r="D125" s="4"/>
    </row>
    <row r="126" spans="1:4" ht="18" customHeight="1" x14ac:dyDescent="0.2">
      <c r="A126" s="4"/>
      <c r="B126" s="4"/>
      <c r="C126" s="4"/>
      <c r="D126" s="4"/>
    </row>
    <row r="127" spans="1:4" ht="18" customHeight="1" x14ac:dyDescent="0.2">
      <c r="A127" s="4"/>
      <c r="B127" s="4"/>
      <c r="C127" s="4"/>
      <c r="D127" s="4"/>
    </row>
    <row r="128" spans="1:4" ht="18" customHeight="1" x14ac:dyDescent="0.2">
      <c r="A128" s="4"/>
      <c r="B128" s="4"/>
      <c r="C128" s="4"/>
      <c r="D128" s="4"/>
    </row>
    <row r="129" spans="1:4" ht="18" customHeight="1" x14ac:dyDescent="0.2">
      <c r="A129" s="4"/>
      <c r="B129" s="4"/>
      <c r="C129" s="4"/>
      <c r="D129" s="4"/>
    </row>
    <row r="130" spans="1:4" ht="18" customHeight="1" x14ac:dyDescent="0.2">
      <c r="A130" s="4"/>
      <c r="B130" s="4"/>
      <c r="C130" s="4"/>
      <c r="D130" s="4"/>
    </row>
    <row r="131" spans="1:4" ht="18" customHeight="1" x14ac:dyDescent="0.2">
      <c r="A131" s="4"/>
      <c r="B131" s="4"/>
      <c r="C131" s="4"/>
      <c r="D131" s="4"/>
    </row>
    <row r="132" spans="1:4" ht="18" customHeight="1" x14ac:dyDescent="0.2">
      <c r="A132" s="4"/>
      <c r="B132" s="4"/>
      <c r="C132" s="4"/>
      <c r="D132" s="4"/>
    </row>
    <row r="133" spans="1:4" ht="18" customHeight="1" x14ac:dyDescent="0.2">
      <c r="A133" s="4"/>
      <c r="B133" s="4"/>
      <c r="C133" s="4"/>
      <c r="D133" s="4"/>
    </row>
    <row r="134" spans="1:4" ht="18" customHeight="1" x14ac:dyDescent="0.2">
      <c r="A134" s="4"/>
      <c r="B134" s="4"/>
      <c r="C134" s="4"/>
      <c r="D134" s="4"/>
    </row>
    <row r="135" spans="1:4" ht="18" customHeight="1" x14ac:dyDescent="0.2">
      <c r="A135" s="4"/>
      <c r="B135" s="4"/>
      <c r="C135" s="4"/>
      <c r="D135" s="4"/>
    </row>
    <row r="136" spans="1:4" ht="18" customHeight="1" x14ac:dyDescent="0.2">
      <c r="A136" s="4"/>
      <c r="B136" s="4"/>
      <c r="C136" s="4"/>
      <c r="D136" s="4"/>
    </row>
    <row r="137" spans="1:4" ht="18" customHeight="1" x14ac:dyDescent="0.2">
      <c r="A137" s="4"/>
      <c r="B137" s="4"/>
      <c r="C137" s="4"/>
      <c r="D137" s="4"/>
    </row>
    <row r="138" spans="1:4" ht="18" customHeight="1" x14ac:dyDescent="0.2">
      <c r="A138" s="4"/>
      <c r="B138" s="4"/>
      <c r="C138" s="4"/>
      <c r="D138" s="4"/>
    </row>
    <row r="139" spans="1:4" ht="18" customHeight="1" x14ac:dyDescent="0.2">
      <c r="A139" s="4"/>
      <c r="B139" s="4"/>
      <c r="C139" s="4"/>
      <c r="D139" s="4"/>
    </row>
    <row r="140" spans="1:4" ht="18" customHeight="1" x14ac:dyDescent="0.2">
      <c r="A140" s="4"/>
      <c r="B140" s="4"/>
      <c r="C140" s="4"/>
      <c r="D140" s="4"/>
    </row>
    <row r="141" spans="1:4" ht="18" customHeight="1" x14ac:dyDescent="0.2">
      <c r="A141" s="4"/>
      <c r="B141" s="4"/>
      <c r="C141" s="4"/>
      <c r="D141" s="4"/>
    </row>
    <row r="142" spans="1:4" ht="18" customHeight="1" x14ac:dyDescent="0.2">
      <c r="A142" s="4"/>
      <c r="B142" s="4"/>
      <c r="C142" s="4"/>
      <c r="D142" s="4"/>
    </row>
    <row r="143" spans="1:4" ht="18" customHeight="1" x14ac:dyDescent="0.2">
      <c r="A143" s="4"/>
      <c r="B143" s="4"/>
      <c r="C143" s="4"/>
      <c r="D143" s="4"/>
    </row>
    <row r="144" spans="1:4" ht="18" customHeight="1" x14ac:dyDescent="0.2">
      <c r="A144" s="4"/>
      <c r="B144" s="4"/>
      <c r="C144" s="4"/>
      <c r="D144" s="4"/>
    </row>
    <row r="145" spans="1:4" ht="18" customHeight="1" x14ac:dyDescent="0.2">
      <c r="A145" s="4"/>
      <c r="B145" s="4"/>
      <c r="C145" s="4"/>
      <c r="D145" s="4"/>
    </row>
    <row r="146" spans="1:4" ht="18" customHeight="1" x14ac:dyDescent="0.2">
      <c r="A146" s="4"/>
      <c r="B146" s="4"/>
      <c r="C146" s="4"/>
      <c r="D146" s="4"/>
    </row>
    <row r="147" spans="1:4" ht="18" customHeight="1" x14ac:dyDescent="0.2">
      <c r="A147" s="4"/>
      <c r="B147" s="4"/>
      <c r="C147" s="4"/>
      <c r="D147" s="4"/>
    </row>
    <row r="148" spans="1:4" ht="18" customHeight="1" x14ac:dyDescent="0.2">
      <c r="A148" s="4"/>
      <c r="B148" s="4"/>
      <c r="C148" s="4"/>
      <c r="D148" s="4"/>
    </row>
    <row r="149" spans="1:4" ht="18" customHeight="1" x14ac:dyDescent="0.2">
      <c r="A149" s="4"/>
      <c r="B149" s="4"/>
      <c r="C149" s="4"/>
      <c r="D149" s="4"/>
    </row>
    <row r="150" spans="1:4" ht="18" customHeight="1" x14ac:dyDescent="0.2">
      <c r="A150" s="4"/>
      <c r="B150" s="4"/>
      <c r="C150" s="4"/>
      <c r="D150" s="4"/>
    </row>
    <row r="151" spans="1:4" ht="18" customHeight="1" x14ac:dyDescent="0.2">
      <c r="A151" s="4"/>
      <c r="B151" s="4"/>
      <c r="C151" s="4"/>
      <c r="D151" s="4"/>
    </row>
    <row r="152" spans="1:4" ht="18" customHeight="1" x14ac:dyDescent="0.2">
      <c r="A152" s="4"/>
      <c r="B152" s="4"/>
      <c r="C152" s="4"/>
      <c r="D152" s="4"/>
    </row>
    <row r="153" spans="1:4" ht="18" customHeight="1" x14ac:dyDescent="0.2">
      <c r="A153" s="4"/>
      <c r="B153" s="4"/>
      <c r="C153" s="4"/>
      <c r="D153" s="4"/>
    </row>
    <row r="154" spans="1:4" ht="18" customHeight="1" x14ac:dyDescent="0.2">
      <c r="A154" s="4"/>
      <c r="B154" s="4"/>
      <c r="C154" s="4"/>
      <c r="D154" s="4"/>
    </row>
    <row r="155" spans="1:4" ht="18" customHeight="1" x14ac:dyDescent="0.2">
      <c r="A155" s="4"/>
      <c r="B155" s="4"/>
      <c r="C155" s="4"/>
      <c r="D155" s="4"/>
    </row>
    <row r="156" spans="1:4" ht="18" customHeight="1" x14ac:dyDescent="0.2">
      <c r="A156" s="4"/>
      <c r="B156" s="4"/>
      <c r="C156" s="4"/>
      <c r="D156" s="4"/>
    </row>
    <row r="157" spans="1:4" ht="18" customHeight="1" x14ac:dyDescent="0.2">
      <c r="A157" s="4"/>
      <c r="B157" s="4"/>
      <c r="C157" s="4"/>
      <c r="D157" s="4"/>
    </row>
    <row r="158" spans="1:4" ht="18" customHeight="1" x14ac:dyDescent="0.2">
      <c r="A158" s="4"/>
      <c r="B158" s="4"/>
      <c r="C158" s="4"/>
      <c r="D158" s="4"/>
    </row>
    <row r="159" spans="1:4" ht="18" customHeight="1" x14ac:dyDescent="0.2">
      <c r="A159" s="4"/>
      <c r="B159" s="4"/>
      <c r="C159" s="4"/>
      <c r="D159" s="4"/>
    </row>
    <row r="160" spans="1:4" ht="18" customHeight="1" x14ac:dyDescent="0.2">
      <c r="A160" s="4"/>
      <c r="B160" s="4"/>
      <c r="C160" s="4"/>
      <c r="D160" s="4"/>
    </row>
    <row r="161" spans="1:4" ht="18" customHeight="1" x14ac:dyDescent="0.2">
      <c r="A161" s="4"/>
      <c r="B161" s="4"/>
      <c r="C161" s="4"/>
      <c r="D161" s="4"/>
    </row>
    <row r="162" spans="1:4" ht="18" customHeight="1" x14ac:dyDescent="0.2">
      <c r="A162" s="4"/>
      <c r="B162" s="4"/>
      <c r="C162" s="4"/>
      <c r="D162" s="4"/>
    </row>
    <row r="163" spans="1:4" ht="18" customHeight="1" x14ac:dyDescent="0.2">
      <c r="A163" s="4"/>
      <c r="B163" s="4"/>
      <c r="C163" s="4"/>
      <c r="D163" s="4"/>
    </row>
    <row r="164" spans="1:4" ht="18" customHeight="1" x14ac:dyDescent="0.2">
      <c r="A164" s="4"/>
      <c r="B164" s="4"/>
      <c r="C164" s="4"/>
      <c r="D164" s="4"/>
    </row>
    <row r="165" spans="1:4" ht="18" customHeight="1" x14ac:dyDescent="0.2">
      <c r="A165" s="4"/>
      <c r="B165" s="4"/>
      <c r="C165" s="4"/>
      <c r="D165" s="4"/>
    </row>
    <row r="166" spans="1:4" ht="18" customHeight="1" x14ac:dyDescent="0.2">
      <c r="A166" s="4"/>
      <c r="B166" s="4"/>
      <c r="C166" s="4"/>
      <c r="D166" s="4"/>
    </row>
    <row r="167" spans="1:4" ht="18" customHeight="1" x14ac:dyDescent="0.2">
      <c r="A167" s="4"/>
      <c r="B167" s="4"/>
      <c r="C167" s="4"/>
      <c r="D167" s="4"/>
    </row>
    <row r="168" spans="1:4" ht="18" customHeight="1" x14ac:dyDescent="0.2">
      <c r="A168" s="4"/>
      <c r="B168" s="4"/>
      <c r="C168" s="4"/>
      <c r="D168" s="4"/>
    </row>
    <row r="169" spans="1:4" ht="18" customHeight="1" x14ac:dyDescent="0.2">
      <c r="A169" s="4"/>
      <c r="B169" s="4"/>
      <c r="C169" s="4"/>
      <c r="D169" s="4"/>
    </row>
    <row r="170" spans="1:4" ht="18" customHeight="1" x14ac:dyDescent="0.2">
      <c r="A170" s="4"/>
      <c r="B170" s="4"/>
      <c r="C170" s="4"/>
      <c r="D170" s="4"/>
    </row>
    <row r="171" spans="1:4" ht="18" customHeight="1" x14ac:dyDescent="0.2">
      <c r="A171" s="4"/>
      <c r="B171" s="4"/>
      <c r="C171" s="4"/>
      <c r="D171" s="4"/>
    </row>
    <row r="172" spans="1:4" ht="18" customHeight="1" x14ac:dyDescent="0.2">
      <c r="A172" s="4"/>
      <c r="B172" s="4"/>
      <c r="C172" s="4"/>
      <c r="D172" s="4"/>
    </row>
    <row r="173" spans="1:4" ht="18" customHeight="1" x14ac:dyDescent="0.2">
      <c r="A173" s="4"/>
      <c r="B173" s="4"/>
      <c r="C173" s="4"/>
      <c r="D173" s="4"/>
    </row>
    <row r="174" spans="1:4" ht="18" customHeight="1" x14ac:dyDescent="0.2">
      <c r="A174" s="4"/>
      <c r="B174" s="4"/>
      <c r="C174" s="4"/>
      <c r="D174" s="4"/>
    </row>
    <row r="175" spans="1:4" ht="18" customHeight="1" x14ac:dyDescent="0.2">
      <c r="A175" s="4"/>
      <c r="B175" s="4"/>
      <c r="C175" s="4"/>
      <c r="D175" s="4"/>
    </row>
    <row r="176" spans="1:4" ht="18" customHeight="1" x14ac:dyDescent="0.2">
      <c r="A176" s="4"/>
      <c r="B176" s="4"/>
      <c r="C176" s="4"/>
      <c r="D176" s="4"/>
    </row>
    <row r="177" spans="1:4" ht="18" customHeight="1" x14ac:dyDescent="0.2">
      <c r="A177" s="4"/>
      <c r="B177" s="4"/>
      <c r="C177" s="4"/>
      <c r="D177" s="4"/>
    </row>
    <row r="178" spans="1:4" ht="18" customHeight="1" x14ac:dyDescent="0.2">
      <c r="A178" s="4"/>
      <c r="B178" s="4"/>
      <c r="C178" s="4"/>
      <c r="D178" s="4"/>
    </row>
    <row r="179" spans="1:4" ht="18" customHeight="1" x14ac:dyDescent="0.2">
      <c r="A179" s="4"/>
      <c r="B179" s="4"/>
      <c r="C179" s="4"/>
      <c r="D179" s="4"/>
    </row>
    <row r="180" spans="1:4" ht="18" customHeight="1" x14ac:dyDescent="0.2">
      <c r="A180" s="4"/>
      <c r="B180" s="4"/>
      <c r="C180" s="4"/>
      <c r="D180" s="4"/>
    </row>
    <row r="181" spans="1:4" ht="18" customHeight="1" x14ac:dyDescent="0.2">
      <c r="A181" s="4"/>
      <c r="B181" s="4"/>
      <c r="C181" s="4"/>
      <c r="D181" s="4"/>
    </row>
    <row r="182" spans="1:4" ht="18" customHeight="1" x14ac:dyDescent="0.2">
      <c r="A182" s="4"/>
      <c r="B182" s="4"/>
      <c r="C182" s="4"/>
      <c r="D182" s="4"/>
    </row>
    <row r="183" spans="1:4" ht="18" customHeight="1" x14ac:dyDescent="0.2">
      <c r="A183" s="4"/>
      <c r="B183" s="4"/>
      <c r="C183" s="4"/>
      <c r="D183" s="4"/>
    </row>
    <row r="184" spans="1:4" ht="18" customHeight="1" x14ac:dyDescent="0.2">
      <c r="A184" s="4"/>
      <c r="B184" s="4"/>
      <c r="C184" s="4"/>
      <c r="D184" s="4"/>
    </row>
    <row r="185" spans="1:4" ht="18" customHeight="1" x14ac:dyDescent="0.2">
      <c r="A185" s="4"/>
      <c r="B185" s="4"/>
      <c r="C185" s="4"/>
      <c r="D185" s="4"/>
    </row>
    <row r="186" spans="1:4" ht="18" customHeight="1" x14ac:dyDescent="0.2">
      <c r="A186" s="4"/>
      <c r="B186" s="4"/>
      <c r="C186" s="4"/>
      <c r="D186" s="4"/>
    </row>
    <row r="187" spans="1:4" ht="18" customHeight="1" x14ac:dyDescent="0.2">
      <c r="A187" s="4"/>
      <c r="B187" s="4"/>
      <c r="C187" s="4"/>
      <c r="D187" s="4"/>
    </row>
    <row r="188" spans="1:4" ht="18" customHeight="1" x14ac:dyDescent="0.2">
      <c r="A188" s="4"/>
      <c r="B188" s="4"/>
      <c r="C188" s="4"/>
      <c r="D188" s="4"/>
    </row>
    <row r="189" spans="1:4" ht="18" customHeight="1" x14ac:dyDescent="0.2">
      <c r="A189" s="4"/>
      <c r="B189" s="4"/>
      <c r="C189" s="4"/>
      <c r="D189" s="4"/>
    </row>
    <row r="190" spans="1:4" ht="18" customHeight="1" x14ac:dyDescent="0.2">
      <c r="A190" s="4"/>
      <c r="B190" s="4"/>
      <c r="C190" s="4"/>
      <c r="D190" s="4"/>
    </row>
    <row r="191" spans="1:4" ht="18" customHeight="1" x14ac:dyDescent="0.2">
      <c r="A191" s="4"/>
      <c r="B191" s="4"/>
      <c r="C191" s="4"/>
      <c r="D191" s="4"/>
    </row>
    <row r="192" spans="1:4" ht="18" customHeight="1" x14ac:dyDescent="0.2">
      <c r="A192" s="4"/>
      <c r="B192" s="4"/>
      <c r="C192" s="4"/>
      <c r="D192" s="4"/>
    </row>
    <row r="193" spans="1:4" ht="18" customHeight="1" x14ac:dyDescent="0.2">
      <c r="A193" s="4"/>
      <c r="B193" s="4"/>
      <c r="C193" s="4"/>
      <c r="D193" s="4"/>
    </row>
    <row r="194" spans="1:4" ht="18" customHeight="1" x14ac:dyDescent="0.2">
      <c r="A194" s="4"/>
      <c r="B194" s="4"/>
      <c r="C194" s="4"/>
      <c r="D194" s="4"/>
    </row>
    <row r="195" spans="1:4" ht="18" customHeight="1" x14ac:dyDescent="0.2">
      <c r="A195" s="4"/>
      <c r="B195" s="4"/>
      <c r="C195" s="4"/>
      <c r="D195" s="4"/>
    </row>
    <row r="196" spans="1:4" ht="18" customHeight="1" x14ac:dyDescent="0.2">
      <c r="A196" s="4"/>
      <c r="B196" s="4"/>
      <c r="C196" s="4"/>
      <c r="D196" s="4"/>
    </row>
    <row r="197" spans="1:4" ht="18" customHeight="1" x14ac:dyDescent="0.2">
      <c r="A197" s="4"/>
      <c r="B197" s="4"/>
      <c r="C197" s="4"/>
      <c r="D197" s="4"/>
    </row>
    <row r="198" spans="1:4" ht="18" customHeight="1" x14ac:dyDescent="0.2">
      <c r="A198" s="4"/>
      <c r="B198" s="4"/>
      <c r="C198" s="4"/>
      <c r="D198" s="4"/>
    </row>
    <row r="199" spans="1:4" ht="18" customHeight="1" x14ac:dyDescent="0.2">
      <c r="A199" s="4"/>
      <c r="B199" s="4"/>
      <c r="C199" s="4"/>
      <c r="D199" s="4"/>
    </row>
    <row r="200" spans="1:4" ht="18" customHeight="1" x14ac:dyDescent="0.2">
      <c r="A200" s="4"/>
      <c r="B200" s="4"/>
      <c r="C200" s="4"/>
      <c r="D200" s="4"/>
    </row>
  </sheetData>
  <mergeCells count="2">
    <mergeCell ref="A1:D1"/>
    <mergeCell ref="A2:D2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00"/>
  <sheetViews>
    <sheetView workbookViewId="0">
      <pane ySplit="3" topLeftCell="A4" activePane="bottomLeft" state="frozen"/>
      <selection pane="bottomLeft"/>
    </sheetView>
  </sheetViews>
  <sheetFormatPr defaultRowHeight="15" x14ac:dyDescent="0.2"/>
  <cols>
    <col min="1" max="1" width="27.98046875" customWidth="1"/>
    <col min="2" max="3" width="16.0078125" customWidth="1"/>
  </cols>
  <sheetData>
    <row r="1" spans="1:3" ht="27.95" customHeight="1" x14ac:dyDescent="0.2">
      <c r="A1" s="11" t="s">
        <v>111</v>
      </c>
      <c r="B1" s="8"/>
      <c r="C1" s="8"/>
    </row>
    <row r="2" spans="1:3" ht="33.950000000000003" customHeight="1" x14ac:dyDescent="0.2">
      <c r="A2" s="12" t="s">
        <v>112</v>
      </c>
      <c r="B2" s="8"/>
      <c r="C2" s="8"/>
    </row>
    <row r="3" spans="1:3" ht="21.95" customHeight="1" x14ac:dyDescent="0.2">
      <c r="A3" s="1" t="s">
        <v>113</v>
      </c>
      <c r="B3" s="1" t="s">
        <v>96</v>
      </c>
      <c r="C3" s="1" t="s">
        <v>114</v>
      </c>
    </row>
    <row r="4" spans="1:3" ht="18" customHeight="1" x14ac:dyDescent="0.2">
      <c r="A4" s="4" t="s">
        <v>115</v>
      </c>
      <c r="B4" s="4">
        <v>75000</v>
      </c>
      <c r="C4" s="4">
        <v>60000</v>
      </c>
    </row>
    <row r="5" spans="1:3" ht="18" customHeight="1" x14ac:dyDescent="0.2">
      <c r="A5" s="4" t="s">
        <v>116</v>
      </c>
      <c r="B5" s="4">
        <v>28000</v>
      </c>
      <c r="C5" s="4">
        <v>40000</v>
      </c>
    </row>
    <row r="6" spans="1:3" ht="18" customHeight="1" x14ac:dyDescent="0.2">
      <c r="A6" s="4" t="s">
        <v>117</v>
      </c>
      <c r="B6" s="4">
        <v>19000</v>
      </c>
      <c r="C6" s="4">
        <v>25000</v>
      </c>
    </row>
    <row r="7" spans="1:3" ht="18" customHeight="1" x14ac:dyDescent="0.2">
      <c r="A7" s="4" t="s">
        <v>118</v>
      </c>
      <c r="B7" s="4">
        <v>42000</v>
      </c>
      <c r="C7" s="4">
        <v>50000</v>
      </c>
    </row>
    <row r="8" spans="1:3" ht="18" customHeight="1" x14ac:dyDescent="0.2">
      <c r="A8" s="4"/>
      <c r="B8" s="4"/>
      <c r="C8" s="4"/>
    </row>
    <row r="9" spans="1:3" ht="18" customHeight="1" x14ac:dyDescent="0.2">
      <c r="A9" s="4"/>
      <c r="B9" s="4"/>
      <c r="C9" s="4"/>
    </row>
    <row r="10" spans="1:3" ht="18" customHeight="1" x14ac:dyDescent="0.2">
      <c r="A10" s="4"/>
      <c r="B10" s="4"/>
      <c r="C10" s="4"/>
    </row>
    <row r="11" spans="1:3" ht="18" customHeight="1" x14ac:dyDescent="0.2">
      <c r="A11" s="4"/>
      <c r="B11" s="4"/>
      <c r="C11" s="4"/>
    </row>
    <row r="12" spans="1:3" ht="18" customHeight="1" x14ac:dyDescent="0.2">
      <c r="A12" s="4"/>
      <c r="B12" s="4"/>
      <c r="C12" s="4"/>
    </row>
    <row r="13" spans="1:3" ht="18" customHeight="1" x14ac:dyDescent="0.2">
      <c r="A13" s="4"/>
      <c r="B13" s="4"/>
      <c r="C13" s="4"/>
    </row>
    <row r="14" spans="1:3" ht="18" customHeight="1" x14ac:dyDescent="0.2">
      <c r="A14" s="4"/>
      <c r="B14" s="4"/>
      <c r="C14" s="4"/>
    </row>
    <row r="15" spans="1:3" ht="18" customHeight="1" x14ac:dyDescent="0.2">
      <c r="A15" s="4"/>
      <c r="B15" s="4"/>
      <c r="C15" s="4"/>
    </row>
    <row r="16" spans="1:3" ht="18" customHeight="1" x14ac:dyDescent="0.2">
      <c r="A16" s="4"/>
      <c r="B16" s="4"/>
      <c r="C16" s="4"/>
    </row>
    <row r="17" spans="1:3" ht="18" customHeight="1" x14ac:dyDescent="0.2">
      <c r="A17" s="4"/>
      <c r="B17" s="4"/>
      <c r="C17" s="4"/>
    </row>
    <row r="18" spans="1:3" ht="18" customHeight="1" x14ac:dyDescent="0.2">
      <c r="A18" s="4"/>
      <c r="B18" s="4"/>
      <c r="C18" s="4"/>
    </row>
    <row r="19" spans="1:3" ht="18" customHeight="1" x14ac:dyDescent="0.2">
      <c r="A19" s="4"/>
      <c r="B19" s="4"/>
      <c r="C19" s="4"/>
    </row>
    <row r="20" spans="1:3" ht="18" customHeight="1" x14ac:dyDescent="0.2">
      <c r="A20" s="4"/>
      <c r="B20" s="4"/>
      <c r="C20" s="4"/>
    </row>
    <row r="21" spans="1:3" ht="18" customHeight="1" x14ac:dyDescent="0.2">
      <c r="A21" s="4"/>
      <c r="B21" s="4"/>
      <c r="C21" s="4"/>
    </row>
    <row r="22" spans="1:3" ht="18" customHeight="1" x14ac:dyDescent="0.2">
      <c r="A22" s="4"/>
      <c r="B22" s="4"/>
      <c r="C22" s="4"/>
    </row>
    <row r="23" spans="1:3" ht="18" customHeight="1" x14ac:dyDescent="0.2">
      <c r="A23" s="4"/>
      <c r="B23" s="4"/>
      <c r="C23" s="4"/>
    </row>
    <row r="24" spans="1:3" ht="18" customHeight="1" x14ac:dyDescent="0.2">
      <c r="A24" s="4"/>
      <c r="B24" s="4"/>
      <c r="C24" s="4"/>
    </row>
    <row r="25" spans="1:3" ht="18" customHeight="1" x14ac:dyDescent="0.2">
      <c r="A25" s="4"/>
      <c r="B25" s="4"/>
      <c r="C25" s="4"/>
    </row>
    <row r="26" spans="1:3" ht="18" customHeight="1" x14ac:dyDescent="0.2">
      <c r="A26" s="4"/>
      <c r="B26" s="4"/>
      <c r="C26" s="4"/>
    </row>
    <row r="27" spans="1:3" ht="18" customHeight="1" x14ac:dyDescent="0.2">
      <c r="A27" s="4"/>
      <c r="B27" s="4"/>
      <c r="C27" s="4"/>
    </row>
    <row r="28" spans="1:3" ht="18" customHeight="1" x14ac:dyDescent="0.2">
      <c r="A28" s="4"/>
      <c r="B28" s="4"/>
      <c r="C28" s="4"/>
    </row>
    <row r="29" spans="1:3" ht="18" customHeight="1" x14ac:dyDescent="0.2">
      <c r="A29" s="4"/>
      <c r="B29" s="4"/>
      <c r="C29" s="4"/>
    </row>
    <row r="30" spans="1:3" ht="18" customHeight="1" x14ac:dyDescent="0.2">
      <c r="A30" s="4"/>
      <c r="B30" s="4"/>
      <c r="C30" s="4"/>
    </row>
    <row r="31" spans="1:3" ht="18" customHeight="1" x14ac:dyDescent="0.2">
      <c r="A31" s="4"/>
      <c r="B31" s="4"/>
      <c r="C31" s="4"/>
    </row>
    <row r="32" spans="1:3" ht="18" customHeight="1" x14ac:dyDescent="0.2">
      <c r="A32" s="4"/>
      <c r="B32" s="4"/>
      <c r="C32" s="4"/>
    </row>
    <row r="33" spans="1:3" ht="18" customHeight="1" x14ac:dyDescent="0.2">
      <c r="A33" s="4"/>
      <c r="B33" s="4"/>
      <c r="C33" s="4"/>
    </row>
    <row r="34" spans="1:3" ht="18" customHeight="1" x14ac:dyDescent="0.2">
      <c r="A34" s="4"/>
      <c r="B34" s="4"/>
      <c r="C34" s="4"/>
    </row>
    <row r="35" spans="1:3" ht="18" customHeight="1" x14ac:dyDescent="0.2">
      <c r="A35" s="4"/>
      <c r="B35" s="4"/>
      <c r="C35" s="4"/>
    </row>
    <row r="36" spans="1:3" ht="18" customHeight="1" x14ac:dyDescent="0.2">
      <c r="A36" s="4"/>
      <c r="B36" s="4"/>
      <c r="C36" s="4"/>
    </row>
    <row r="37" spans="1:3" ht="18" customHeight="1" x14ac:dyDescent="0.2">
      <c r="A37" s="4"/>
      <c r="B37" s="4"/>
      <c r="C37" s="4"/>
    </row>
    <row r="38" spans="1:3" ht="18" customHeight="1" x14ac:dyDescent="0.2">
      <c r="A38" s="4"/>
      <c r="B38" s="4"/>
      <c r="C38" s="4"/>
    </row>
    <row r="39" spans="1:3" ht="18" customHeight="1" x14ac:dyDescent="0.2">
      <c r="A39" s="4"/>
      <c r="B39" s="4"/>
      <c r="C39" s="4"/>
    </row>
    <row r="40" spans="1:3" ht="18" customHeight="1" x14ac:dyDescent="0.2">
      <c r="A40" s="4"/>
      <c r="B40" s="4"/>
      <c r="C40" s="4"/>
    </row>
    <row r="41" spans="1:3" ht="18" customHeight="1" x14ac:dyDescent="0.2">
      <c r="A41" s="4"/>
      <c r="B41" s="4"/>
      <c r="C41" s="4"/>
    </row>
    <row r="42" spans="1:3" ht="18" customHeight="1" x14ac:dyDescent="0.2">
      <c r="A42" s="4"/>
      <c r="B42" s="4"/>
      <c r="C42" s="4"/>
    </row>
    <row r="43" spans="1:3" ht="18" customHeight="1" x14ac:dyDescent="0.2">
      <c r="A43" s="4"/>
      <c r="B43" s="4"/>
      <c r="C43" s="4"/>
    </row>
    <row r="44" spans="1:3" ht="18" customHeight="1" x14ac:dyDescent="0.2">
      <c r="A44" s="4"/>
      <c r="B44" s="4"/>
      <c r="C44" s="4"/>
    </row>
    <row r="45" spans="1:3" ht="18" customHeight="1" x14ac:dyDescent="0.2">
      <c r="A45" s="4"/>
      <c r="B45" s="4"/>
      <c r="C45" s="4"/>
    </row>
    <row r="46" spans="1:3" ht="18" customHeight="1" x14ac:dyDescent="0.2">
      <c r="A46" s="4"/>
      <c r="B46" s="4"/>
      <c r="C46" s="4"/>
    </row>
    <row r="47" spans="1:3" ht="18" customHeight="1" x14ac:dyDescent="0.2">
      <c r="A47" s="4"/>
      <c r="B47" s="4"/>
      <c r="C47" s="4"/>
    </row>
    <row r="48" spans="1:3" ht="18" customHeight="1" x14ac:dyDescent="0.2">
      <c r="A48" s="4"/>
      <c r="B48" s="4"/>
      <c r="C48" s="4"/>
    </row>
    <row r="49" spans="1:3" ht="18" customHeight="1" x14ac:dyDescent="0.2">
      <c r="A49" s="4"/>
      <c r="B49" s="4"/>
      <c r="C49" s="4"/>
    </row>
    <row r="50" spans="1:3" ht="18" customHeight="1" x14ac:dyDescent="0.2">
      <c r="A50" s="4"/>
      <c r="B50" s="4"/>
      <c r="C50" s="4"/>
    </row>
    <row r="51" spans="1:3" ht="18" customHeight="1" x14ac:dyDescent="0.2">
      <c r="A51" s="4"/>
      <c r="B51" s="4"/>
      <c r="C51" s="4"/>
    </row>
    <row r="52" spans="1:3" ht="18" customHeight="1" x14ac:dyDescent="0.2">
      <c r="A52" s="4"/>
      <c r="B52" s="4"/>
      <c r="C52" s="4"/>
    </row>
    <row r="53" spans="1:3" ht="18" customHeight="1" x14ac:dyDescent="0.2">
      <c r="A53" s="4"/>
      <c r="B53" s="4"/>
      <c r="C53" s="4"/>
    </row>
    <row r="54" spans="1:3" ht="18" customHeight="1" x14ac:dyDescent="0.2">
      <c r="A54" s="4"/>
      <c r="B54" s="4"/>
      <c r="C54" s="4"/>
    </row>
    <row r="55" spans="1:3" ht="18" customHeight="1" x14ac:dyDescent="0.2">
      <c r="A55" s="4"/>
      <c r="B55" s="4"/>
      <c r="C55" s="4"/>
    </row>
    <row r="56" spans="1:3" ht="18" customHeight="1" x14ac:dyDescent="0.2">
      <c r="A56" s="4"/>
      <c r="B56" s="4"/>
      <c r="C56" s="4"/>
    </row>
    <row r="57" spans="1:3" ht="18" customHeight="1" x14ac:dyDescent="0.2">
      <c r="A57" s="4"/>
      <c r="B57" s="4"/>
      <c r="C57" s="4"/>
    </row>
    <row r="58" spans="1:3" ht="18" customHeight="1" x14ac:dyDescent="0.2">
      <c r="A58" s="4"/>
      <c r="B58" s="4"/>
      <c r="C58" s="4"/>
    </row>
    <row r="59" spans="1:3" ht="18" customHeight="1" x14ac:dyDescent="0.2">
      <c r="A59" s="4"/>
      <c r="B59" s="4"/>
      <c r="C59" s="4"/>
    </row>
    <row r="60" spans="1:3" ht="18" customHeight="1" x14ac:dyDescent="0.2">
      <c r="A60" s="4"/>
      <c r="B60" s="4"/>
      <c r="C60" s="4"/>
    </row>
    <row r="61" spans="1:3" ht="18" customHeight="1" x14ac:dyDescent="0.2">
      <c r="A61" s="4"/>
      <c r="B61" s="4"/>
      <c r="C61" s="4"/>
    </row>
    <row r="62" spans="1:3" ht="18" customHeight="1" x14ac:dyDescent="0.2">
      <c r="A62" s="4"/>
      <c r="B62" s="4"/>
      <c r="C62" s="4"/>
    </row>
    <row r="63" spans="1:3" ht="18" customHeight="1" x14ac:dyDescent="0.2">
      <c r="A63" s="4"/>
      <c r="B63" s="4"/>
      <c r="C63" s="4"/>
    </row>
    <row r="64" spans="1:3" ht="18" customHeight="1" x14ac:dyDescent="0.2">
      <c r="A64" s="4"/>
      <c r="B64" s="4"/>
      <c r="C64" s="4"/>
    </row>
    <row r="65" spans="1:3" ht="18" customHeight="1" x14ac:dyDescent="0.2">
      <c r="A65" s="4"/>
      <c r="B65" s="4"/>
      <c r="C65" s="4"/>
    </row>
    <row r="66" spans="1:3" ht="18" customHeight="1" x14ac:dyDescent="0.2">
      <c r="A66" s="4"/>
      <c r="B66" s="4"/>
      <c r="C66" s="4"/>
    </row>
    <row r="67" spans="1:3" ht="18" customHeight="1" x14ac:dyDescent="0.2">
      <c r="A67" s="4"/>
      <c r="B67" s="4"/>
      <c r="C67" s="4"/>
    </row>
    <row r="68" spans="1:3" ht="18" customHeight="1" x14ac:dyDescent="0.2">
      <c r="A68" s="4"/>
      <c r="B68" s="4"/>
      <c r="C68" s="4"/>
    </row>
    <row r="69" spans="1:3" ht="18" customHeight="1" x14ac:dyDescent="0.2">
      <c r="A69" s="4"/>
      <c r="B69" s="4"/>
      <c r="C69" s="4"/>
    </row>
    <row r="70" spans="1:3" ht="18" customHeight="1" x14ac:dyDescent="0.2">
      <c r="A70" s="4"/>
      <c r="B70" s="4"/>
      <c r="C70" s="4"/>
    </row>
    <row r="71" spans="1:3" ht="18" customHeight="1" x14ac:dyDescent="0.2">
      <c r="A71" s="4"/>
      <c r="B71" s="4"/>
      <c r="C71" s="4"/>
    </row>
    <row r="72" spans="1:3" ht="18" customHeight="1" x14ac:dyDescent="0.2">
      <c r="A72" s="4"/>
      <c r="B72" s="4"/>
      <c r="C72" s="4"/>
    </row>
    <row r="73" spans="1:3" ht="18" customHeight="1" x14ac:dyDescent="0.2">
      <c r="A73" s="4"/>
      <c r="B73" s="4"/>
      <c r="C73" s="4"/>
    </row>
    <row r="74" spans="1:3" ht="18" customHeight="1" x14ac:dyDescent="0.2">
      <c r="A74" s="4"/>
      <c r="B74" s="4"/>
      <c r="C74" s="4"/>
    </row>
    <row r="75" spans="1:3" ht="18" customHeight="1" x14ac:dyDescent="0.2">
      <c r="A75" s="4"/>
      <c r="B75" s="4"/>
      <c r="C75" s="4"/>
    </row>
    <row r="76" spans="1:3" ht="18" customHeight="1" x14ac:dyDescent="0.2">
      <c r="A76" s="4"/>
      <c r="B76" s="4"/>
      <c r="C76" s="4"/>
    </row>
    <row r="77" spans="1:3" ht="18" customHeight="1" x14ac:dyDescent="0.2">
      <c r="A77" s="4"/>
      <c r="B77" s="4"/>
      <c r="C77" s="4"/>
    </row>
    <row r="78" spans="1:3" ht="18" customHeight="1" x14ac:dyDescent="0.2">
      <c r="A78" s="4"/>
      <c r="B78" s="4"/>
      <c r="C78" s="4"/>
    </row>
    <row r="79" spans="1:3" ht="18" customHeight="1" x14ac:dyDescent="0.2">
      <c r="A79" s="4"/>
      <c r="B79" s="4"/>
      <c r="C79" s="4"/>
    </row>
    <row r="80" spans="1:3" ht="18" customHeight="1" x14ac:dyDescent="0.2">
      <c r="A80" s="4"/>
      <c r="B80" s="4"/>
      <c r="C80" s="4"/>
    </row>
    <row r="81" spans="1:3" ht="18" customHeight="1" x14ac:dyDescent="0.2">
      <c r="A81" s="4"/>
      <c r="B81" s="4"/>
      <c r="C81" s="4"/>
    </row>
    <row r="82" spans="1:3" ht="18" customHeight="1" x14ac:dyDescent="0.2">
      <c r="A82" s="4"/>
      <c r="B82" s="4"/>
      <c r="C82" s="4"/>
    </row>
    <row r="83" spans="1:3" ht="18" customHeight="1" x14ac:dyDescent="0.2">
      <c r="A83" s="4"/>
      <c r="B83" s="4"/>
      <c r="C83" s="4"/>
    </row>
    <row r="84" spans="1:3" ht="18" customHeight="1" x14ac:dyDescent="0.2">
      <c r="A84" s="4"/>
      <c r="B84" s="4"/>
      <c r="C84" s="4"/>
    </row>
    <row r="85" spans="1:3" ht="18" customHeight="1" x14ac:dyDescent="0.2">
      <c r="A85" s="4"/>
      <c r="B85" s="4"/>
      <c r="C85" s="4"/>
    </row>
    <row r="86" spans="1:3" ht="18" customHeight="1" x14ac:dyDescent="0.2">
      <c r="A86" s="4"/>
      <c r="B86" s="4"/>
      <c r="C86" s="4"/>
    </row>
    <row r="87" spans="1:3" ht="18" customHeight="1" x14ac:dyDescent="0.2">
      <c r="A87" s="4"/>
      <c r="B87" s="4"/>
      <c r="C87" s="4"/>
    </row>
    <row r="88" spans="1:3" ht="18" customHeight="1" x14ac:dyDescent="0.2">
      <c r="A88" s="4"/>
      <c r="B88" s="4"/>
      <c r="C88" s="4"/>
    </row>
    <row r="89" spans="1:3" ht="18" customHeight="1" x14ac:dyDescent="0.2">
      <c r="A89" s="4"/>
      <c r="B89" s="4"/>
      <c r="C89" s="4"/>
    </row>
    <row r="90" spans="1:3" ht="18" customHeight="1" x14ac:dyDescent="0.2">
      <c r="A90" s="4"/>
      <c r="B90" s="4"/>
      <c r="C90" s="4"/>
    </row>
    <row r="91" spans="1:3" ht="18" customHeight="1" x14ac:dyDescent="0.2">
      <c r="A91" s="4"/>
      <c r="B91" s="4"/>
      <c r="C91" s="4"/>
    </row>
    <row r="92" spans="1:3" ht="18" customHeight="1" x14ac:dyDescent="0.2">
      <c r="A92" s="4"/>
      <c r="B92" s="4"/>
      <c r="C92" s="4"/>
    </row>
    <row r="93" spans="1:3" ht="18" customHeight="1" x14ac:dyDescent="0.2">
      <c r="A93" s="4"/>
      <c r="B93" s="4"/>
      <c r="C93" s="4"/>
    </row>
    <row r="94" spans="1:3" ht="18" customHeight="1" x14ac:dyDescent="0.2">
      <c r="A94" s="4"/>
      <c r="B94" s="4"/>
      <c r="C94" s="4"/>
    </row>
    <row r="95" spans="1:3" ht="18" customHeight="1" x14ac:dyDescent="0.2">
      <c r="A95" s="4"/>
      <c r="B95" s="4"/>
      <c r="C95" s="4"/>
    </row>
    <row r="96" spans="1:3" ht="18" customHeight="1" x14ac:dyDescent="0.2">
      <c r="A96" s="4"/>
      <c r="B96" s="4"/>
      <c r="C96" s="4"/>
    </row>
    <row r="97" spans="1:3" ht="18" customHeight="1" x14ac:dyDescent="0.2">
      <c r="A97" s="4"/>
      <c r="B97" s="4"/>
      <c r="C97" s="4"/>
    </row>
    <row r="98" spans="1:3" ht="18" customHeight="1" x14ac:dyDescent="0.2">
      <c r="A98" s="4"/>
      <c r="B98" s="4"/>
      <c r="C98" s="4"/>
    </row>
    <row r="99" spans="1:3" ht="18" customHeight="1" x14ac:dyDescent="0.2">
      <c r="A99" s="4"/>
      <c r="B99" s="4"/>
      <c r="C99" s="4"/>
    </row>
    <row r="100" spans="1:3" ht="18" customHeight="1" x14ac:dyDescent="0.2">
      <c r="A100" s="4"/>
      <c r="B100" s="4"/>
      <c r="C100" s="4"/>
    </row>
    <row r="101" spans="1:3" ht="18" customHeight="1" x14ac:dyDescent="0.2">
      <c r="A101" s="4"/>
      <c r="B101" s="4"/>
      <c r="C101" s="4"/>
    </row>
    <row r="102" spans="1:3" ht="18" customHeight="1" x14ac:dyDescent="0.2">
      <c r="A102" s="4"/>
      <c r="B102" s="4"/>
      <c r="C102" s="4"/>
    </row>
    <row r="103" spans="1:3" ht="18" customHeight="1" x14ac:dyDescent="0.2">
      <c r="A103" s="4"/>
      <c r="B103" s="4"/>
      <c r="C103" s="4"/>
    </row>
    <row r="104" spans="1:3" ht="18" customHeight="1" x14ac:dyDescent="0.2">
      <c r="A104" s="4"/>
      <c r="B104" s="4"/>
      <c r="C104" s="4"/>
    </row>
    <row r="105" spans="1:3" ht="18" customHeight="1" x14ac:dyDescent="0.2">
      <c r="A105" s="4"/>
      <c r="B105" s="4"/>
      <c r="C105" s="4"/>
    </row>
    <row r="106" spans="1:3" ht="18" customHeight="1" x14ac:dyDescent="0.2">
      <c r="A106" s="4"/>
      <c r="B106" s="4"/>
      <c r="C106" s="4"/>
    </row>
    <row r="107" spans="1:3" ht="18" customHeight="1" x14ac:dyDescent="0.2">
      <c r="A107" s="4"/>
      <c r="B107" s="4"/>
      <c r="C107" s="4"/>
    </row>
    <row r="108" spans="1:3" ht="18" customHeight="1" x14ac:dyDescent="0.2">
      <c r="A108" s="4"/>
      <c r="B108" s="4"/>
      <c r="C108" s="4"/>
    </row>
    <row r="109" spans="1:3" ht="18" customHeight="1" x14ac:dyDescent="0.2">
      <c r="A109" s="4"/>
      <c r="B109" s="4"/>
      <c r="C109" s="4"/>
    </row>
    <row r="110" spans="1:3" ht="18" customHeight="1" x14ac:dyDescent="0.2">
      <c r="A110" s="4"/>
      <c r="B110" s="4"/>
      <c r="C110" s="4"/>
    </row>
    <row r="111" spans="1:3" ht="18" customHeight="1" x14ac:dyDescent="0.2">
      <c r="A111" s="4"/>
      <c r="B111" s="4"/>
      <c r="C111" s="4"/>
    </row>
    <row r="112" spans="1:3" ht="18" customHeight="1" x14ac:dyDescent="0.2">
      <c r="A112" s="4"/>
      <c r="B112" s="4"/>
      <c r="C112" s="4"/>
    </row>
    <row r="113" spans="1:3" ht="18" customHeight="1" x14ac:dyDescent="0.2">
      <c r="A113" s="4"/>
      <c r="B113" s="4"/>
      <c r="C113" s="4"/>
    </row>
    <row r="114" spans="1:3" ht="18" customHeight="1" x14ac:dyDescent="0.2">
      <c r="A114" s="4"/>
      <c r="B114" s="4"/>
      <c r="C114" s="4"/>
    </row>
    <row r="115" spans="1:3" ht="18" customHeight="1" x14ac:dyDescent="0.2">
      <c r="A115" s="4"/>
      <c r="B115" s="4"/>
      <c r="C115" s="4"/>
    </row>
    <row r="116" spans="1:3" ht="18" customHeight="1" x14ac:dyDescent="0.2">
      <c r="A116" s="4"/>
      <c r="B116" s="4"/>
      <c r="C116" s="4"/>
    </row>
    <row r="117" spans="1:3" ht="18" customHeight="1" x14ac:dyDescent="0.2">
      <c r="A117" s="4"/>
      <c r="B117" s="4"/>
      <c r="C117" s="4"/>
    </row>
    <row r="118" spans="1:3" ht="18" customHeight="1" x14ac:dyDescent="0.2">
      <c r="A118" s="4"/>
      <c r="B118" s="4"/>
      <c r="C118" s="4"/>
    </row>
    <row r="119" spans="1:3" ht="18" customHeight="1" x14ac:dyDescent="0.2">
      <c r="A119" s="4"/>
      <c r="B119" s="4"/>
      <c r="C119" s="4"/>
    </row>
    <row r="120" spans="1:3" ht="18" customHeight="1" x14ac:dyDescent="0.2">
      <c r="A120" s="4"/>
      <c r="B120" s="4"/>
      <c r="C120" s="4"/>
    </row>
    <row r="121" spans="1:3" ht="18" customHeight="1" x14ac:dyDescent="0.2">
      <c r="A121" s="4"/>
      <c r="B121" s="4"/>
      <c r="C121" s="4"/>
    </row>
    <row r="122" spans="1:3" ht="18" customHeight="1" x14ac:dyDescent="0.2">
      <c r="A122" s="4"/>
      <c r="B122" s="4"/>
      <c r="C122" s="4"/>
    </row>
    <row r="123" spans="1:3" ht="18" customHeight="1" x14ac:dyDescent="0.2">
      <c r="A123" s="4"/>
      <c r="B123" s="4"/>
      <c r="C123" s="4"/>
    </row>
    <row r="124" spans="1:3" ht="18" customHeight="1" x14ac:dyDescent="0.2">
      <c r="A124" s="4"/>
      <c r="B124" s="4"/>
      <c r="C124" s="4"/>
    </row>
    <row r="125" spans="1:3" ht="18" customHeight="1" x14ac:dyDescent="0.2">
      <c r="A125" s="4"/>
      <c r="B125" s="4"/>
      <c r="C125" s="4"/>
    </row>
    <row r="126" spans="1:3" ht="18" customHeight="1" x14ac:dyDescent="0.2">
      <c r="A126" s="4"/>
      <c r="B126" s="4"/>
      <c r="C126" s="4"/>
    </row>
    <row r="127" spans="1:3" ht="18" customHeight="1" x14ac:dyDescent="0.2">
      <c r="A127" s="4"/>
      <c r="B127" s="4"/>
      <c r="C127" s="4"/>
    </row>
    <row r="128" spans="1:3" ht="18" customHeight="1" x14ac:dyDescent="0.2">
      <c r="A128" s="4"/>
      <c r="B128" s="4"/>
      <c r="C128" s="4"/>
    </row>
    <row r="129" spans="1:3" ht="18" customHeight="1" x14ac:dyDescent="0.2">
      <c r="A129" s="4"/>
      <c r="B129" s="4"/>
      <c r="C129" s="4"/>
    </row>
    <row r="130" spans="1:3" ht="18" customHeight="1" x14ac:dyDescent="0.2">
      <c r="A130" s="4"/>
      <c r="B130" s="4"/>
      <c r="C130" s="4"/>
    </row>
    <row r="131" spans="1:3" ht="18" customHeight="1" x14ac:dyDescent="0.2">
      <c r="A131" s="4"/>
      <c r="B131" s="4"/>
      <c r="C131" s="4"/>
    </row>
    <row r="132" spans="1:3" ht="18" customHeight="1" x14ac:dyDescent="0.2">
      <c r="A132" s="4"/>
      <c r="B132" s="4"/>
      <c r="C132" s="4"/>
    </row>
    <row r="133" spans="1:3" ht="18" customHeight="1" x14ac:dyDescent="0.2">
      <c r="A133" s="4"/>
      <c r="B133" s="4"/>
      <c r="C133" s="4"/>
    </row>
    <row r="134" spans="1:3" ht="18" customHeight="1" x14ac:dyDescent="0.2">
      <c r="A134" s="4"/>
      <c r="B134" s="4"/>
      <c r="C134" s="4"/>
    </row>
    <row r="135" spans="1:3" ht="18" customHeight="1" x14ac:dyDescent="0.2">
      <c r="A135" s="4"/>
      <c r="B135" s="4"/>
      <c r="C135" s="4"/>
    </row>
    <row r="136" spans="1:3" ht="18" customHeight="1" x14ac:dyDescent="0.2">
      <c r="A136" s="4"/>
      <c r="B136" s="4"/>
      <c r="C136" s="4"/>
    </row>
    <row r="137" spans="1:3" ht="18" customHeight="1" x14ac:dyDescent="0.2">
      <c r="A137" s="4"/>
      <c r="B137" s="4"/>
      <c r="C137" s="4"/>
    </row>
    <row r="138" spans="1:3" ht="18" customHeight="1" x14ac:dyDescent="0.2">
      <c r="A138" s="4"/>
      <c r="B138" s="4"/>
      <c r="C138" s="4"/>
    </row>
    <row r="139" spans="1:3" ht="18" customHeight="1" x14ac:dyDescent="0.2">
      <c r="A139" s="4"/>
      <c r="B139" s="4"/>
      <c r="C139" s="4"/>
    </row>
    <row r="140" spans="1:3" ht="18" customHeight="1" x14ac:dyDescent="0.2">
      <c r="A140" s="4"/>
      <c r="B140" s="4"/>
      <c r="C140" s="4"/>
    </row>
    <row r="141" spans="1:3" ht="18" customHeight="1" x14ac:dyDescent="0.2">
      <c r="A141" s="4"/>
      <c r="B141" s="4"/>
      <c r="C141" s="4"/>
    </row>
    <row r="142" spans="1:3" ht="18" customHeight="1" x14ac:dyDescent="0.2">
      <c r="A142" s="4"/>
      <c r="B142" s="4"/>
      <c r="C142" s="4"/>
    </row>
    <row r="143" spans="1:3" ht="18" customHeight="1" x14ac:dyDescent="0.2">
      <c r="A143" s="4"/>
      <c r="B143" s="4"/>
      <c r="C143" s="4"/>
    </row>
    <row r="144" spans="1:3" ht="18" customHeight="1" x14ac:dyDescent="0.2">
      <c r="A144" s="4"/>
      <c r="B144" s="4"/>
      <c r="C144" s="4"/>
    </row>
    <row r="145" spans="1:3" ht="18" customHeight="1" x14ac:dyDescent="0.2">
      <c r="A145" s="4"/>
      <c r="B145" s="4"/>
      <c r="C145" s="4"/>
    </row>
    <row r="146" spans="1:3" ht="18" customHeight="1" x14ac:dyDescent="0.2">
      <c r="A146" s="4"/>
      <c r="B146" s="4"/>
      <c r="C146" s="4"/>
    </row>
    <row r="147" spans="1:3" ht="18" customHeight="1" x14ac:dyDescent="0.2">
      <c r="A147" s="4"/>
      <c r="B147" s="4"/>
      <c r="C147" s="4"/>
    </row>
    <row r="148" spans="1:3" ht="18" customHeight="1" x14ac:dyDescent="0.2">
      <c r="A148" s="4"/>
      <c r="B148" s="4"/>
      <c r="C148" s="4"/>
    </row>
    <row r="149" spans="1:3" ht="18" customHeight="1" x14ac:dyDescent="0.2">
      <c r="A149" s="4"/>
      <c r="B149" s="4"/>
      <c r="C149" s="4"/>
    </row>
    <row r="150" spans="1:3" ht="18" customHeight="1" x14ac:dyDescent="0.2">
      <c r="A150" s="4"/>
      <c r="B150" s="4"/>
      <c r="C150" s="4"/>
    </row>
    <row r="151" spans="1:3" ht="18" customHeight="1" x14ac:dyDescent="0.2">
      <c r="A151" s="4"/>
      <c r="B151" s="4"/>
      <c r="C151" s="4"/>
    </row>
    <row r="152" spans="1:3" ht="18" customHeight="1" x14ac:dyDescent="0.2">
      <c r="A152" s="4"/>
      <c r="B152" s="4"/>
      <c r="C152" s="4"/>
    </row>
    <row r="153" spans="1:3" ht="18" customHeight="1" x14ac:dyDescent="0.2">
      <c r="A153" s="4"/>
      <c r="B153" s="4"/>
      <c r="C153" s="4"/>
    </row>
    <row r="154" spans="1:3" ht="18" customHeight="1" x14ac:dyDescent="0.2">
      <c r="A154" s="4"/>
      <c r="B154" s="4"/>
      <c r="C154" s="4"/>
    </row>
    <row r="155" spans="1:3" ht="18" customHeight="1" x14ac:dyDescent="0.2">
      <c r="A155" s="4"/>
      <c r="B155" s="4"/>
      <c r="C155" s="4"/>
    </row>
    <row r="156" spans="1:3" ht="18" customHeight="1" x14ac:dyDescent="0.2">
      <c r="A156" s="4"/>
      <c r="B156" s="4"/>
      <c r="C156" s="4"/>
    </row>
    <row r="157" spans="1:3" ht="18" customHeight="1" x14ac:dyDescent="0.2">
      <c r="A157" s="4"/>
      <c r="B157" s="4"/>
      <c r="C157" s="4"/>
    </row>
    <row r="158" spans="1:3" ht="18" customHeight="1" x14ac:dyDescent="0.2">
      <c r="A158" s="4"/>
      <c r="B158" s="4"/>
      <c r="C158" s="4"/>
    </row>
    <row r="159" spans="1:3" ht="18" customHeight="1" x14ac:dyDescent="0.2">
      <c r="A159" s="4"/>
      <c r="B159" s="4"/>
      <c r="C159" s="4"/>
    </row>
    <row r="160" spans="1:3" ht="18" customHeight="1" x14ac:dyDescent="0.2">
      <c r="A160" s="4"/>
      <c r="B160" s="4"/>
      <c r="C160" s="4"/>
    </row>
    <row r="161" spans="1:3" ht="18" customHeight="1" x14ac:dyDescent="0.2">
      <c r="A161" s="4"/>
      <c r="B161" s="4"/>
      <c r="C161" s="4"/>
    </row>
    <row r="162" spans="1:3" ht="18" customHeight="1" x14ac:dyDescent="0.2">
      <c r="A162" s="4"/>
      <c r="B162" s="4"/>
      <c r="C162" s="4"/>
    </row>
    <row r="163" spans="1:3" ht="18" customHeight="1" x14ac:dyDescent="0.2">
      <c r="A163" s="4"/>
      <c r="B163" s="4"/>
      <c r="C163" s="4"/>
    </row>
    <row r="164" spans="1:3" ht="18" customHeight="1" x14ac:dyDescent="0.2">
      <c r="A164" s="4"/>
      <c r="B164" s="4"/>
      <c r="C164" s="4"/>
    </row>
    <row r="165" spans="1:3" ht="18" customHeight="1" x14ac:dyDescent="0.2">
      <c r="A165" s="4"/>
      <c r="B165" s="4"/>
      <c r="C165" s="4"/>
    </row>
    <row r="166" spans="1:3" ht="18" customHeight="1" x14ac:dyDescent="0.2">
      <c r="A166" s="4"/>
      <c r="B166" s="4"/>
      <c r="C166" s="4"/>
    </row>
    <row r="167" spans="1:3" ht="18" customHeight="1" x14ac:dyDescent="0.2">
      <c r="A167" s="4"/>
      <c r="B167" s="4"/>
      <c r="C167" s="4"/>
    </row>
    <row r="168" spans="1:3" ht="18" customHeight="1" x14ac:dyDescent="0.2">
      <c r="A168" s="4"/>
      <c r="B168" s="4"/>
      <c r="C168" s="4"/>
    </row>
    <row r="169" spans="1:3" ht="18" customHeight="1" x14ac:dyDescent="0.2">
      <c r="A169" s="4"/>
      <c r="B169" s="4"/>
      <c r="C169" s="4"/>
    </row>
    <row r="170" spans="1:3" ht="18" customHeight="1" x14ac:dyDescent="0.2">
      <c r="A170" s="4"/>
      <c r="B170" s="4"/>
      <c r="C170" s="4"/>
    </row>
    <row r="171" spans="1:3" ht="18" customHeight="1" x14ac:dyDescent="0.2">
      <c r="A171" s="4"/>
      <c r="B171" s="4"/>
      <c r="C171" s="4"/>
    </row>
    <row r="172" spans="1:3" ht="18" customHeight="1" x14ac:dyDescent="0.2">
      <c r="A172" s="4"/>
      <c r="B172" s="4"/>
      <c r="C172" s="4"/>
    </row>
    <row r="173" spans="1:3" ht="18" customHeight="1" x14ac:dyDescent="0.2">
      <c r="A173" s="4"/>
      <c r="B173" s="4"/>
      <c r="C173" s="4"/>
    </row>
    <row r="174" spans="1:3" ht="18" customHeight="1" x14ac:dyDescent="0.2">
      <c r="A174" s="4"/>
      <c r="B174" s="4"/>
      <c r="C174" s="4"/>
    </row>
    <row r="175" spans="1:3" ht="18" customHeight="1" x14ac:dyDescent="0.2">
      <c r="A175" s="4"/>
      <c r="B175" s="4"/>
      <c r="C175" s="4"/>
    </row>
    <row r="176" spans="1:3" ht="18" customHeight="1" x14ac:dyDescent="0.2">
      <c r="A176" s="4"/>
      <c r="B176" s="4"/>
      <c r="C176" s="4"/>
    </row>
    <row r="177" spans="1:3" ht="18" customHeight="1" x14ac:dyDescent="0.2">
      <c r="A177" s="4"/>
      <c r="B177" s="4"/>
      <c r="C177" s="4"/>
    </row>
    <row r="178" spans="1:3" ht="18" customHeight="1" x14ac:dyDescent="0.2">
      <c r="A178" s="4"/>
      <c r="B178" s="4"/>
      <c r="C178" s="4"/>
    </row>
    <row r="179" spans="1:3" ht="18" customHeight="1" x14ac:dyDescent="0.2">
      <c r="A179" s="4"/>
      <c r="B179" s="4"/>
      <c r="C179" s="4"/>
    </row>
    <row r="180" spans="1:3" ht="18" customHeight="1" x14ac:dyDescent="0.2">
      <c r="A180" s="4"/>
      <c r="B180" s="4"/>
      <c r="C180" s="4"/>
    </row>
    <row r="181" spans="1:3" ht="18" customHeight="1" x14ac:dyDescent="0.2">
      <c r="A181" s="4"/>
      <c r="B181" s="4"/>
      <c r="C181" s="4"/>
    </row>
    <row r="182" spans="1:3" ht="18" customHeight="1" x14ac:dyDescent="0.2">
      <c r="A182" s="4"/>
      <c r="B182" s="4"/>
      <c r="C182" s="4"/>
    </row>
    <row r="183" spans="1:3" ht="18" customHeight="1" x14ac:dyDescent="0.2">
      <c r="A183" s="4"/>
      <c r="B183" s="4"/>
      <c r="C183" s="4"/>
    </row>
    <row r="184" spans="1:3" ht="18" customHeight="1" x14ac:dyDescent="0.2">
      <c r="A184" s="4"/>
      <c r="B184" s="4"/>
      <c r="C184" s="4"/>
    </row>
    <row r="185" spans="1:3" ht="18" customHeight="1" x14ac:dyDescent="0.2">
      <c r="A185" s="4"/>
      <c r="B185" s="4"/>
      <c r="C185" s="4"/>
    </row>
    <row r="186" spans="1:3" ht="18" customHeight="1" x14ac:dyDescent="0.2">
      <c r="A186" s="4"/>
      <c r="B186" s="4"/>
      <c r="C186" s="4"/>
    </row>
    <row r="187" spans="1:3" ht="18" customHeight="1" x14ac:dyDescent="0.2">
      <c r="A187" s="4"/>
      <c r="B187" s="4"/>
      <c r="C187" s="4"/>
    </row>
    <row r="188" spans="1:3" ht="18" customHeight="1" x14ac:dyDescent="0.2">
      <c r="A188" s="4"/>
      <c r="B188" s="4"/>
      <c r="C188" s="4"/>
    </row>
    <row r="189" spans="1:3" ht="18" customHeight="1" x14ac:dyDescent="0.2">
      <c r="A189" s="4"/>
      <c r="B189" s="4"/>
      <c r="C189" s="4"/>
    </row>
    <row r="190" spans="1:3" ht="18" customHeight="1" x14ac:dyDescent="0.2">
      <c r="A190" s="4"/>
      <c r="B190" s="4"/>
      <c r="C190" s="4"/>
    </row>
    <row r="191" spans="1:3" ht="18" customHeight="1" x14ac:dyDescent="0.2">
      <c r="A191" s="4"/>
      <c r="B191" s="4"/>
      <c r="C191" s="4"/>
    </row>
    <row r="192" spans="1:3" ht="18" customHeight="1" x14ac:dyDescent="0.2">
      <c r="A192" s="4"/>
      <c r="B192" s="4"/>
      <c r="C192" s="4"/>
    </row>
    <row r="193" spans="1:3" ht="18" customHeight="1" x14ac:dyDescent="0.2">
      <c r="A193" s="4"/>
      <c r="B193" s="4"/>
      <c r="C193" s="4"/>
    </row>
    <row r="194" spans="1:3" ht="18" customHeight="1" x14ac:dyDescent="0.2">
      <c r="A194" s="4"/>
      <c r="B194" s="4"/>
      <c r="C194" s="4"/>
    </row>
    <row r="195" spans="1:3" ht="18" customHeight="1" x14ac:dyDescent="0.2">
      <c r="A195" s="4"/>
      <c r="B195" s="4"/>
      <c r="C195" s="4"/>
    </row>
    <row r="196" spans="1:3" ht="18" customHeight="1" x14ac:dyDescent="0.2">
      <c r="A196" s="4"/>
      <c r="B196" s="4"/>
      <c r="C196" s="4"/>
    </row>
    <row r="197" spans="1:3" ht="18" customHeight="1" x14ac:dyDescent="0.2">
      <c r="A197" s="4"/>
      <c r="B197" s="4"/>
      <c r="C197" s="4"/>
    </row>
    <row r="198" spans="1:3" ht="18" customHeight="1" x14ac:dyDescent="0.2">
      <c r="A198" s="4"/>
      <c r="B198" s="4"/>
      <c r="C198" s="4"/>
    </row>
    <row r="199" spans="1:3" ht="18" customHeight="1" x14ac:dyDescent="0.2">
      <c r="A199" s="4"/>
      <c r="B199" s="4"/>
      <c r="C199" s="4"/>
    </row>
    <row r="200" spans="1:3" ht="18" customHeight="1" x14ac:dyDescent="0.2">
      <c r="A200" s="4"/>
      <c r="B200" s="4"/>
      <c r="C200" s="4"/>
    </row>
  </sheetData>
  <mergeCells count="2">
    <mergeCell ref="A1:C1"/>
    <mergeCell ref="A2:C2"/>
  </mergeCell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00"/>
  <sheetViews>
    <sheetView workbookViewId="0">
      <pane ySplit="3" topLeftCell="A4" activePane="bottomLeft" state="frozen"/>
      <selection pane="bottomLeft"/>
    </sheetView>
  </sheetViews>
  <sheetFormatPr defaultRowHeight="15" x14ac:dyDescent="0.2"/>
  <cols>
    <col min="1" max="1" width="29.99609375" customWidth="1"/>
    <col min="2" max="3" width="13.98828125" customWidth="1"/>
    <col min="4" max="4" width="11.97265625" customWidth="1"/>
  </cols>
  <sheetData>
    <row r="1" spans="1:4" ht="27.95" customHeight="1" x14ac:dyDescent="0.2">
      <c r="A1" s="11" t="s">
        <v>119</v>
      </c>
      <c r="B1" s="8"/>
      <c r="C1" s="8"/>
      <c r="D1" s="8"/>
    </row>
    <row r="2" spans="1:4" ht="33.950000000000003" customHeight="1" x14ac:dyDescent="0.2">
      <c r="A2" s="12" t="s">
        <v>120</v>
      </c>
      <c r="B2" s="8"/>
      <c r="C2" s="8"/>
      <c r="D2" s="8"/>
    </row>
    <row r="3" spans="1:4" ht="21.95" customHeight="1" x14ac:dyDescent="0.2">
      <c r="A3" s="1" t="s">
        <v>121</v>
      </c>
      <c r="B3" s="1" t="s">
        <v>122</v>
      </c>
      <c r="C3" s="1" t="s">
        <v>123</v>
      </c>
      <c r="D3" s="1" t="s">
        <v>33</v>
      </c>
    </row>
    <row r="4" spans="1:4" ht="18" customHeight="1" x14ac:dyDescent="0.2">
      <c r="A4" s="4" t="s">
        <v>124</v>
      </c>
      <c r="B4" s="4">
        <v>8200</v>
      </c>
      <c r="C4" s="4">
        <v>6100</v>
      </c>
      <c r="D4" s="4" t="s">
        <v>125</v>
      </c>
    </row>
    <row r="5" spans="1:4" ht="18" customHeight="1" x14ac:dyDescent="0.2">
      <c r="A5" s="4" t="s">
        <v>126</v>
      </c>
      <c r="B5" s="4">
        <v>18000</v>
      </c>
      <c r="C5" s="4">
        <v>14200</v>
      </c>
      <c r="D5" s="4" t="s">
        <v>125</v>
      </c>
    </row>
    <row r="6" spans="1:4" ht="18" customHeight="1" x14ac:dyDescent="0.2">
      <c r="A6" s="4" t="s">
        <v>127</v>
      </c>
      <c r="B6" s="4">
        <v>4200</v>
      </c>
      <c r="C6" s="4">
        <v>3900</v>
      </c>
      <c r="D6" s="4" t="s">
        <v>125</v>
      </c>
    </row>
    <row r="7" spans="1:4" ht="18" customHeight="1" x14ac:dyDescent="0.2">
      <c r="A7" s="4" t="s">
        <v>128</v>
      </c>
      <c r="B7" s="4">
        <v>6800</v>
      </c>
      <c r="C7" s="4">
        <v>7100</v>
      </c>
      <c r="D7" s="4" t="s">
        <v>125</v>
      </c>
    </row>
    <row r="8" spans="1:4" ht="18" customHeight="1" x14ac:dyDescent="0.2">
      <c r="A8" s="4" t="s">
        <v>129</v>
      </c>
      <c r="B8" s="4">
        <v>42000</v>
      </c>
      <c r="C8" s="4">
        <v>39800</v>
      </c>
      <c r="D8" s="4" t="s">
        <v>125</v>
      </c>
    </row>
    <row r="9" spans="1:4" ht="18" customHeight="1" x14ac:dyDescent="0.2">
      <c r="A9" s="4" t="s">
        <v>130</v>
      </c>
      <c r="B9" s="4">
        <v>2500</v>
      </c>
      <c r="C9" s="4">
        <v>1400</v>
      </c>
      <c r="D9" s="4" t="s">
        <v>125</v>
      </c>
    </row>
    <row r="10" spans="1:4" ht="18" customHeight="1" x14ac:dyDescent="0.2">
      <c r="A10" s="4" t="s">
        <v>131</v>
      </c>
      <c r="B10" s="4">
        <v>12000</v>
      </c>
      <c r="C10" s="4">
        <v>15600</v>
      </c>
      <c r="D10" s="4" t="s">
        <v>125</v>
      </c>
    </row>
    <row r="11" spans="1:4" ht="18" customHeight="1" x14ac:dyDescent="0.2">
      <c r="A11" s="4"/>
      <c r="B11" s="4"/>
      <c r="C11" s="4"/>
      <c r="D11" s="4"/>
    </row>
    <row r="12" spans="1:4" ht="18" customHeight="1" x14ac:dyDescent="0.2">
      <c r="A12" s="4"/>
      <c r="B12" s="4"/>
      <c r="C12" s="4"/>
      <c r="D12" s="4"/>
    </row>
    <row r="13" spans="1:4" ht="18" customHeight="1" x14ac:dyDescent="0.2">
      <c r="A13" s="4"/>
      <c r="B13" s="4"/>
      <c r="C13" s="4"/>
      <c r="D13" s="4"/>
    </row>
    <row r="14" spans="1:4" ht="18" customHeight="1" x14ac:dyDescent="0.2">
      <c r="A14" s="4"/>
      <c r="B14" s="4"/>
      <c r="C14" s="4"/>
      <c r="D14" s="4"/>
    </row>
    <row r="15" spans="1:4" ht="18" customHeight="1" x14ac:dyDescent="0.2">
      <c r="A15" s="4"/>
      <c r="B15" s="4"/>
      <c r="C15" s="4"/>
      <c r="D15" s="4"/>
    </row>
    <row r="16" spans="1:4" ht="18" customHeight="1" x14ac:dyDescent="0.2">
      <c r="A16" s="4"/>
      <c r="B16" s="4"/>
      <c r="C16" s="4"/>
      <c r="D16" s="4"/>
    </row>
    <row r="17" spans="1:4" ht="18" customHeight="1" x14ac:dyDescent="0.2">
      <c r="A17" s="4"/>
      <c r="B17" s="4"/>
      <c r="C17" s="4"/>
      <c r="D17" s="4"/>
    </row>
    <row r="18" spans="1:4" ht="18" customHeight="1" x14ac:dyDescent="0.2">
      <c r="A18" s="4"/>
      <c r="B18" s="4"/>
      <c r="C18" s="4"/>
      <c r="D18" s="4"/>
    </row>
    <row r="19" spans="1:4" ht="18" customHeight="1" x14ac:dyDescent="0.2">
      <c r="A19" s="4"/>
      <c r="B19" s="4"/>
      <c r="C19" s="4"/>
      <c r="D19" s="4"/>
    </row>
    <row r="20" spans="1:4" ht="18" customHeight="1" x14ac:dyDescent="0.2">
      <c r="A20" s="4"/>
      <c r="B20" s="4"/>
      <c r="C20" s="4"/>
      <c r="D20" s="4"/>
    </row>
    <row r="21" spans="1:4" ht="18" customHeight="1" x14ac:dyDescent="0.2">
      <c r="A21" s="4"/>
      <c r="B21" s="4"/>
      <c r="C21" s="4"/>
      <c r="D21" s="4"/>
    </row>
    <row r="22" spans="1:4" ht="18" customHeight="1" x14ac:dyDescent="0.2">
      <c r="A22" s="4"/>
      <c r="B22" s="4"/>
      <c r="C22" s="4"/>
      <c r="D22" s="4"/>
    </row>
    <row r="23" spans="1:4" ht="18" customHeight="1" x14ac:dyDescent="0.2">
      <c r="A23" s="4"/>
      <c r="B23" s="4"/>
      <c r="C23" s="4"/>
      <c r="D23" s="4"/>
    </row>
    <row r="24" spans="1:4" ht="18" customHeight="1" x14ac:dyDescent="0.2">
      <c r="A24" s="4"/>
      <c r="B24" s="4"/>
      <c r="C24" s="4"/>
      <c r="D24" s="4"/>
    </row>
    <row r="25" spans="1:4" ht="18" customHeight="1" x14ac:dyDescent="0.2">
      <c r="A25" s="4"/>
      <c r="B25" s="4"/>
      <c r="C25" s="4"/>
      <c r="D25" s="4"/>
    </row>
    <row r="26" spans="1:4" ht="18" customHeight="1" x14ac:dyDescent="0.2">
      <c r="A26" s="4"/>
      <c r="B26" s="4"/>
      <c r="C26" s="4"/>
      <c r="D26" s="4"/>
    </row>
    <row r="27" spans="1:4" ht="18" customHeight="1" x14ac:dyDescent="0.2">
      <c r="A27" s="4"/>
      <c r="B27" s="4"/>
      <c r="C27" s="4"/>
      <c r="D27" s="4"/>
    </row>
    <row r="28" spans="1:4" ht="18" customHeight="1" x14ac:dyDescent="0.2">
      <c r="A28" s="4"/>
      <c r="B28" s="4"/>
      <c r="C28" s="4"/>
      <c r="D28" s="4"/>
    </row>
    <row r="29" spans="1:4" ht="18" customHeight="1" x14ac:dyDescent="0.2">
      <c r="A29" s="4"/>
      <c r="B29" s="4"/>
      <c r="C29" s="4"/>
      <c r="D29" s="4"/>
    </row>
    <row r="30" spans="1:4" ht="18" customHeight="1" x14ac:dyDescent="0.2">
      <c r="A30" s="4"/>
      <c r="B30" s="4"/>
      <c r="C30" s="4"/>
      <c r="D30" s="4"/>
    </row>
    <row r="31" spans="1:4" ht="18" customHeight="1" x14ac:dyDescent="0.2">
      <c r="A31" s="4"/>
      <c r="B31" s="4"/>
      <c r="C31" s="4"/>
      <c r="D31" s="4"/>
    </row>
    <row r="32" spans="1:4" ht="18" customHeight="1" x14ac:dyDescent="0.2">
      <c r="A32" s="4"/>
      <c r="B32" s="4"/>
      <c r="C32" s="4"/>
      <c r="D32" s="4"/>
    </row>
    <row r="33" spans="1:4" ht="18" customHeight="1" x14ac:dyDescent="0.2">
      <c r="A33" s="4"/>
      <c r="B33" s="4"/>
      <c r="C33" s="4"/>
      <c r="D33" s="4"/>
    </row>
    <row r="34" spans="1:4" ht="18" customHeight="1" x14ac:dyDescent="0.2">
      <c r="A34" s="4"/>
      <c r="B34" s="4"/>
      <c r="C34" s="4"/>
      <c r="D34" s="4"/>
    </row>
    <row r="35" spans="1:4" ht="18" customHeight="1" x14ac:dyDescent="0.2">
      <c r="A35" s="4"/>
      <c r="B35" s="4"/>
      <c r="C35" s="4"/>
      <c r="D35" s="4"/>
    </row>
    <row r="36" spans="1:4" ht="18" customHeight="1" x14ac:dyDescent="0.2">
      <c r="A36" s="4"/>
      <c r="B36" s="4"/>
      <c r="C36" s="4"/>
      <c r="D36" s="4"/>
    </row>
    <row r="37" spans="1:4" ht="18" customHeight="1" x14ac:dyDescent="0.2">
      <c r="A37" s="4"/>
      <c r="B37" s="4"/>
      <c r="C37" s="4"/>
      <c r="D37" s="4"/>
    </row>
    <row r="38" spans="1:4" ht="18" customHeight="1" x14ac:dyDescent="0.2">
      <c r="A38" s="4"/>
      <c r="B38" s="4"/>
      <c r="C38" s="4"/>
      <c r="D38" s="4"/>
    </row>
    <row r="39" spans="1:4" ht="18" customHeight="1" x14ac:dyDescent="0.2">
      <c r="A39" s="4"/>
      <c r="B39" s="4"/>
      <c r="C39" s="4"/>
      <c r="D39" s="4"/>
    </row>
    <row r="40" spans="1:4" ht="18" customHeight="1" x14ac:dyDescent="0.2">
      <c r="A40" s="4"/>
      <c r="B40" s="4"/>
      <c r="C40" s="4"/>
      <c r="D40" s="4"/>
    </row>
    <row r="41" spans="1:4" ht="18" customHeight="1" x14ac:dyDescent="0.2">
      <c r="A41" s="4"/>
      <c r="B41" s="4"/>
      <c r="C41" s="4"/>
      <c r="D41" s="4"/>
    </row>
    <row r="42" spans="1:4" ht="18" customHeight="1" x14ac:dyDescent="0.2">
      <c r="A42" s="4"/>
      <c r="B42" s="4"/>
      <c r="C42" s="4"/>
      <c r="D42" s="4"/>
    </row>
    <row r="43" spans="1:4" ht="18" customHeight="1" x14ac:dyDescent="0.2">
      <c r="A43" s="4"/>
      <c r="B43" s="4"/>
      <c r="C43" s="4"/>
      <c r="D43" s="4"/>
    </row>
    <row r="44" spans="1:4" ht="18" customHeight="1" x14ac:dyDescent="0.2">
      <c r="A44" s="4"/>
      <c r="B44" s="4"/>
      <c r="C44" s="4"/>
      <c r="D44" s="4"/>
    </row>
    <row r="45" spans="1:4" ht="18" customHeight="1" x14ac:dyDescent="0.2">
      <c r="A45" s="4"/>
      <c r="B45" s="4"/>
      <c r="C45" s="4"/>
      <c r="D45" s="4"/>
    </row>
    <row r="46" spans="1:4" ht="18" customHeight="1" x14ac:dyDescent="0.2">
      <c r="A46" s="4"/>
      <c r="B46" s="4"/>
      <c r="C46" s="4"/>
      <c r="D46" s="4"/>
    </row>
    <row r="47" spans="1:4" ht="18" customHeight="1" x14ac:dyDescent="0.2">
      <c r="A47" s="4"/>
      <c r="B47" s="4"/>
      <c r="C47" s="4"/>
      <c r="D47" s="4"/>
    </row>
    <row r="48" spans="1:4" ht="18" customHeight="1" x14ac:dyDescent="0.2">
      <c r="A48" s="4"/>
      <c r="B48" s="4"/>
      <c r="C48" s="4"/>
      <c r="D48" s="4"/>
    </row>
    <row r="49" spans="1:4" ht="18" customHeight="1" x14ac:dyDescent="0.2">
      <c r="A49" s="4"/>
      <c r="B49" s="4"/>
      <c r="C49" s="4"/>
      <c r="D49" s="4"/>
    </row>
    <row r="50" spans="1:4" ht="18" customHeight="1" x14ac:dyDescent="0.2">
      <c r="A50" s="4"/>
      <c r="B50" s="4"/>
      <c r="C50" s="4"/>
      <c r="D50" s="4"/>
    </row>
    <row r="51" spans="1:4" ht="18" customHeight="1" x14ac:dyDescent="0.2">
      <c r="A51" s="4"/>
      <c r="B51" s="4"/>
      <c r="C51" s="4"/>
      <c r="D51" s="4"/>
    </row>
    <row r="52" spans="1:4" ht="18" customHeight="1" x14ac:dyDescent="0.2">
      <c r="A52" s="4"/>
      <c r="B52" s="4"/>
      <c r="C52" s="4"/>
      <c r="D52" s="4"/>
    </row>
    <row r="53" spans="1:4" ht="18" customHeight="1" x14ac:dyDescent="0.2">
      <c r="A53" s="4"/>
      <c r="B53" s="4"/>
      <c r="C53" s="4"/>
      <c r="D53" s="4"/>
    </row>
    <row r="54" spans="1:4" ht="18" customHeight="1" x14ac:dyDescent="0.2">
      <c r="A54" s="4"/>
      <c r="B54" s="4"/>
      <c r="C54" s="4"/>
      <c r="D54" s="4"/>
    </row>
    <row r="55" spans="1:4" ht="18" customHeight="1" x14ac:dyDescent="0.2">
      <c r="A55" s="4"/>
      <c r="B55" s="4"/>
      <c r="C55" s="4"/>
      <c r="D55" s="4"/>
    </row>
    <row r="56" spans="1:4" ht="18" customHeight="1" x14ac:dyDescent="0.2">
      <c r="A56" s="4"/>
      <c r="B56" s="4"/>
      <c r="C56" s="4"/>
      <c r="D56" s="4"/>
    </row>
    <row r="57" spans="1:4" ht="18" customHeight="1" x14ac:dyDescent="0.2">
      <c r="A57" s="4"/>
      <c r="B57" s="4"/>
      <c r="C57" s="4"/>
      <c r="D57" s="4"/>
    </row>
    <row r="58" spans="1:4" ht="18" customHeight="1" x14ac:dyDescent="0.2">
      <c r="A58" s="4"/>
      <c r="B58" s="4"/>
      <c r="C58" s="4"/>
      <c r="D58" s="4"/>
    </row>
    <row r="59" spans="1:4" ht="18" customHeight="1" x14ac:dyDescent="0.2">
      <c r="A59" s="4"/>
      <c r="B59" s="4"/>
      <c r="C59" s="4"/>
      <c r="D59" s="4"/>
    </row>
    <row r="60" spans="1:4" ht="18" customHeight="1" x14ac:dyDescent="0.2">
      <c r="A60" s="4"/>
      <c r="B60" s="4"/>
      <c r="C60" s="4"/>
      <c r="D60" s="4"/>
    </row>
    <row r="61" spans="1:4" ht="18" customHeight="1" x14ac:dyDescent="0.2">
      <c r="A61" s="4"/>
      <c r="B61" s="4"/>
      <c r="C61" s="4"/>
      <c r="D61" s="4"/>
    </row>
    <row r="62" spans="1:4" ht="18" customHeight="1" x14ac:dyDescent="0.2">
      <c r="A62" s="4"/>
      <c r="B62" s="4"/>
      <c r="C62" s="4"/>
      <c r="D62" s="4"/>
    </row>
    <row r="63" spans="1:4" ht="18" customHeight="1" x14ac:dyDescent="0.2">
      <c r="A63" s="4"/>
      <c r="B63" s="4"/>
      <c r="C63" s="4"/>
      <c r="D63" s="4"/>
    </row>
    <row r="64" spans="1:4" ht="18" customHeight="1" x14ac:dyDescent="0.2">
      <c r="A64" s="4"/>
      <c r="B64" s="4"/>
      <c r="C64" s="4"/>
      <c r="D64" s="4"/>
    </row>
    <row r="65" spans="1:4" ht="18" customHeight="1" x14ac:dyDescent="0.2">
      <c r="A65" s="4"/>
      <c r="B65" s="4"/>
      <c r="C65" s="4"/>
      <c r="D65" s="4"/>
    </row>
    <row r="66" spans="1:4" ht="18" customHeight="1" x14ac:dyDescent="0.2">
      <c r="A66" s="4"/>
      <c r="B66" s="4"/>
      <c r="C66" s="4"/>
      <c r="D66" s="4"/>
    </row>
    <row r="67" spans="1:4" ht="18" customHeight="1" x14ac:dyDescent="0.2">
      <c r="A67" s="4"/>
      <c r="B67" s="4"/>
      <c r="C67" s="4"/>
      <c r="D67" s="4"/>
    </row>
    <row r="68" spans="1:4" ht="18" customHeight="1" x14ac:dyDescent="0.2">
      <c r="A68" s="4"/>
      <c r="B68" s="4"/>
      <c r="C68" s="4"/>
      <c r="D68" s="4"/>
    </row>
    <row r="69" spans="1:4" ht="18" customHeight="1" x14ac:dyDescent="0.2">
      <c r="A69" s="4"/>
      <c r="B69" s="4"/>
      <c r="C69" s="4"/>
      <c r="D69" s="4"/>
    </row>
    <row r="70" spans="1:4" ht="18" customHeight="1" x14ac:dyDescent="0.2">
      <c r="A70" s="4"/>
      <c r="B70" s="4"/>
      <c r="C70" s="4"/>
      <c r="D70" s="4"/>
    </row>
    <row r="71" spans="1:4" ht="18" customHeight="1" x14ac:dyDescent="0.2">
      <c r="A71" s="4"/>
      <c r="B71" s="4"/>
      <c r="C71" s="4"/>
      <c r="D71" s="4"/>
    </row>
    <row r="72" spans="1:4" ht="18" customHeight="1" x14ac:dyDescent="0.2">
      <c r="A72" s="4"/>
      <c r="B72" s="4"/>
      <c r="C72" s="4"/>
      <c r="D72" s="4"/>
    </row>
    <row r="73" spans="1:4" ht="18" customHeight="1" x14ac:dyDescent="0.2">
      <c r="A73" s="4"/>
      <c r="B73" s="4"/>
      <c r="C73" s="4"/>
      <c r="D73" s="4"/>
    </row>
    <row r="74" spans="1:4" ht="18" customHeight="1" x14ac:dyDescent="0.2">
      <c r="A74" s="4"/>
      <c r="B74" s="4"/>
      <c r="C74" s="4"/>
      <c r="D74" s="4"/>
    </row>
    <row r="75" spans="1:4" ht="18" customHeight="1" x14ac:dyDescent="0.2">
      <c r="A75" s="4"/>
      <c r="B75" s="4"/>
      <c r="C75" s="4"/>
      <c r="D75" s="4"/>
    </row>
    <row r="76" spans="1:4" ht="18" customHeight="1" x14ac:dyDescent="0.2">
      <c r="A76" s="4"/>
      <c r="B76" s="4"/>
      <c r="C76" s="4"/>
      <c r="D76" s="4"/>
    </row>
    <row r="77" spans="1:4" ht="18" customHeight="1" x14ac:dyDescent="0.2">
      <c r="A77" s="4"/>
      <c r="B77" s="4"/>
      <c r="C77" s="4"/>
      <c r="D77" s="4"/>
    </row>
    <row r="78" spans="1:4" ht="18" customHeight="1" x14ac:dyDescent="0.2">
      <c r="A78" s="4"/>
      <c r="B78" s="4"/>
      <c r="C78" s="4"/>
      <c r="D78" s="4"/>
    </row>
    <row r="79" spans="1:4" ht="18" customHeight="1" x14ac:dyDescent="0.2">
      <c r="A79" s="4"/>
      <c r="B79" s="4"/>
      <c r="C79" s="4"/>
      <c r="D79" s="4"/>
    </row>
    <row r="80" spans="1:4" ht="18" customHeight="1" x14ac:dyDescent="0.2">
      <c r="A80" s="4"/>
      <c r="B80" s="4"/>
      <c r="C80" s="4"/>
      <c r="D80" s="4"/>
    </row>
    <row r="81" spans="1:4" ht="18" customHeight="1" x14ac:dyDescent="0.2">
      <c r="A81" s="4"/>
      <c r="B81" s="4"/>
      <c r="C81" s="4"/>
      <c r="D81" s="4"/>
    </row>
    <row r="82" spans="1:4" ht="18" customHeight="1" x14ac:dyDescent="0.2">
      <c r="A82" s="4"/>
      <c r="B82" s="4"/>
      <c r="C82" s="4"/>
      <c r="D82" s="4"/>
    </row>
    <row r="83" spans="1:4" ht="18" customHeight="1" x14ac:dyDescent="0.2">
      <c r="A83" s="4"/>
      <c r="B83" s="4"/>
      <c r="C83" s="4"/>
      <c r="D83" s="4"/>
    </row>
    <row r="84" spans="1:4" ht="18" customHeight="1" x14ac:dyDescent="0.2">
      <c r="A84" s="4"/>
      <c r="B84" s="4"/>
      <c r="C84" s="4"/>
      <c r="D84" s="4"/>
    </row>
    <row r="85" spans="1:4" ht="18" customHeight="1" x14ac:dyDescent="0.2">
      <c r="A85" s="4"/>
      <c r="B85" s="4"/>
      <c r="C85" s="4"/>
      <c r="D85" s="4"/>
    </row>
    <row r="86" spans="1:4" ht="18" customHeight="1" x14ac:dyDescent="0.2">
      <c r="A86" s="4"/>
      <c r="B86" s="4"/>
      <c r="C86" s="4"/>
      <c r="D86" s="4"/>
    </row>
    <row r="87" spans="1:4" ht="18" customHeight="1" x14ac:dyDescent="0.2">
      <c r="A87" s="4"/>
      <c r="B87" s="4"/>
      <c r="C87" s="4"/>
      <c r="D87" s="4"/>
    </row>
    <row r="88" spans="1:4" ht="18" customHeight="1" x14ac:dyDescent="0.2">
      <c r="A88" s="4"/>
      <c r="B88" s="4"/>
      <c r="C88" s="4"/>
      <c r="D88" s="4"/>
    </row>
    <row r="89" spans="1:4" ht="18" customHeight="1" x14ac:dyDescent="0.2">
      <c r="A89" s="4"/>
      <c r="B89" s="4"/>
      <c r="C89" s="4"/>
      <c r="D89" s="4"/>
    </row>
    <row r="90" spans="1:4" ht="18" customHeight="1" x14ac:dyDescent="0.2">
      <c r="A90" s="4"/>
      <c r="B90" s="4"/>
      <c r="C90" s="4"/>
      <c r="D90" s="4"/>
    </row>
    <row r="91" spans="1:4" ht="18" customHeight="1" x14ac:dyDescent="0.2">
      <c r="A91" s="4"/>
      <c r="B91" s="4"/>
      <c r="C91" s="4"/>
      <c r="D91" s="4"/>
    </row>
    <row r="92" spans="1:4" ht="18" customHeight="1" x14ac:dyDescent="0.2">
      <c r="A92" s="4"/>
      <c r="B92" s="4"/>
      <c r="C92" s="4"/>
      <c r="D92" s="4"/>
    </row>
    <row r="93" spans="1:4" ht="18" customHeight="1" x14ac:dyDescent="0.2">
      <c r="A93" s="4"/>
      <c r="B93" s="4"/>
      <c r="C93" s="4"/>
      <c r="D93" s="4"/>
    </row>
    <row r="94" spans="1:4" ht="18" customHeight="1" x14ac:dyDescent="0.2">
      <c r="A94" s="4"/>
      <c r="B94" s="4"/>
      <c r="C94" s="4"/>
      <c r="D94" s="4"/>
    </row>
    <row r="95" spans="1:4" ht="18" customHeight="1" x14ac:dyDescent="0.2">
      <c r="A95" s="4"/>
      <c r="B95" s="4"/>
      <c r="C95" s="4"/>
      <c r="D95" s="4"/>
    </row>
    <row r="96" spans="1:4" ht="18" customHeight="1" x14ac:dyDescent="0.2">
      <c r="A96" s="4"/>
      <c r="B96" s="4"/>
      <c r="C96" s="4"/>
      <c r="D96" s="4"/>
    </row>
    <row r="97" spans="1:4" ht="18" customHeight="1" x14ac:dyDescent="0.2">
      <c r="A97" s="4"/>
      <c r="B97" s="4"/>
      <c r="C97" s="4"/>
      <c r="D97" s="4"/>
    </row>
    <row r="98" spans="1:4" ht="18" customHeight="1" x14ac:dyDescent="0.2">
      <c r="A98" s="4"/>
      <c r="B98" s="4"/>
      <c r="C98" s="4"/>
      <c r="D98" s="4"/>
    </row>
    <row r="99" spans="1:4" ht="18" customHeight="1" x14ac:dyDescent="0.2">
      <c r="A99" s="4"/>
      <c r="B99" s="4"/>
      <c r="C99" s="4"/>
      <c r="D99" s="4"/>
    </row>
    <row r="100" spans="1:4" ht="18" customHeight="1" x14ac:dyDescent="0.2">
      <c r="A100" s="4"/>
      <c r="B100" s="4"/>
      <c r="C100" s="4"/>
      <c r="D100" s="4"/>
    </row>
    <row r="101" spans="1:4" ht="18" customHeight="1" x14ac:dyDescent="0.2">
      <c r="A101" s="4"/>
      <c r="B101" s="4"/>
      <c r="C101" s="4"/>
      <c r="D101" s="4"/>
    </row>
    <row r="102" spans="1:4" ht="18" customHeight="1" x14ac:dyDescent="0.2">
      <c r="A102" s="4"/>
      <c r="B102" s="4"/>
      <c r="C102" s="4"/>
      <c r="D102" s="4"/>
    </row>
    <row r="103" spans="1:4" ht="18" customHeight="1" x14ac:dyDescent="0.2">
      <c r="A103" s="4"/>
      <c r="B103" s="4"/>
      <c r="C103" s="4"/>
      <c r="D103" s="4"/>
    </row>
    <row r="104" spans="1:4" ht="18" customHeight="1" x14ac:dyDescent="0.2">
      <c r="A104" s="4"/>
      <c r="B104" s="4"/>
      <c r="C104" s="4"/>
      <c r="D104" s="4"/>
    </row>
    <row r="105" spans="1:4" ht="18" customHeight="1" x14ac:dyDescent="0.2">
      <c r="A105" s="4"/>
      <c r="B105" s="4"/>
      <c r="C105" s="4"/>
      <c r="D105" s="4"/>
    </row>
    <row r="106" spans="1:4" ht="18" customHeight="1" x14ac:dyDescent="0.2">
      <c r="A106" s="4"/>
      <c r="B106" s="4"/>
      <c r="C106" s="4"/>
      <c r="D106" s="4"/>
    </row>
    <row r="107" spans="1:4" ht="18" customHeight="1" x14ac:dyDescent="0.2">
      <c r="A107" s="4"/>
      <c r="B107" s="4"/>
      <c r="C107" s="4"/>
      <c r="D107" s="4"/>
    </row>
    <row r="108" spans="1:4" ht="18" customHeight="1" x14ac:dyDescent="0.2">
      <c r="A108" s="4"/>
      <c r="B108" s="4"/>
      <c r="C108" s="4"/>
      <c r="D108" s="4"/>
    </row>
    <row r="109" spans="1:4" ht="18" customHeight="1" x14ac:dyDescent="0.2">
      <c r="A109" s="4"/>
      <c r="B109" s="4"/>
      <c r="C109" s="4"/>
      <c r="D109" s="4"/>
    </row>
    <row r="110" spans="1:4" ht="18" customHeight="1" x14ac:dyDescent="0.2">
      <c r="A110" s="4"/>
      <c r="B110" s="4"/>
      <c r="C110" s="4"/>
      <c r="D110" s="4"/>
    </row>
    <row r="111" spans="1:4" ht="18" customHeight="1" x14ac:dyDescent="0.2">
      <c r="A111" s="4"/>
      <c r="B111" s="4"/>
      <c r="C111" s="4"/>
      <c r="D111" s="4"/>
    </row>
    <row r="112" spans="1:4" ht="18" customHeight="1" x14ac:dyDescent="0.2">
      <c r="A112" s="4"/>
      <c r="B112" s="4"/>
      <c r="C112" s="4"/>
      <c r="D112" s="4"/>
    </row>
    <row r="113" spans="1:4" ht="18" customHeight="1" x14ac:dyDescent="0.2">
      <c r="A113" s="4"/>
      <c r="B113" s="4"/>
      <c r="C113" s="4"/>
      <c r="D113" s="4"/>
    </row>
    <row r="114" spans="1:4" ht="18" customHeight="1" x14ac:dyDescent="0.2">
      <c r="A114" s="4"/>
      <c r="B114" s="4"/>
      <c r="C114" s="4"/>
      <c r="D114" s="4"/>
    </row>
    <row r="115" spans="1:4" ht="18" customHeight="1" x14ac:dyDescent="0.2">
      <c r="A115" s="4"/>
      <c r="B115" s="4"/>
      <c r="C115" s="4"/>
      <c r="D115" s="4"/>
    </row>
    <row r="116" spans="1:4" ht="18" customHeight="1" x14ac:dyDescent="0.2">
      <c r="A116" s="4"/>
      <c r="B116" s="4"/>
      <c r="C116" s="4"/>
      <c r="D116" s="4"/>
    </row>
    <row r="117" spans="1:4" ht="18" customHeight="1" x14ac:dyDescent="0.2">
      <c r="A117" s="4"/>
      <c r="B117" s="4"/>
      <c r="C117" s="4"/>
      <c r="D117" s="4"/>
    </row>
    <row r="118" spans="1:4" ht="18" customHeight="1" x14ac:dyDescent="0.2">
      <c r="A118" s="4"/>
      <c r="B118" s="4"/>
      <c r="C118" s="4"/>
      <c r="D118" s="4"/>
    </row>
    <row r="119" spans="1:4" ht="18" customHeight="1" x14ac:dyDescent="0.2">
      <c r="A119" s="4"/>
      <c r="B119" s="4"/>
      <c r="C119" s="4"/>
      <c r="D119" s="4"/>
    </row>
    <row r="120" spans="1:4" ht="18" customHeight="1" x14ac:dyDescent="0.2">
      <c r="A120" s="4"/>
      <c r="B120" s="4"/>
      <c r="C120" s="4"/>
      <c r="D120" s="4"/>
    </row>
    <row r="121" spans="1:4" ht="18" customHeight="1" x14ac:dyDescent="0.2">
      <c r="A121" s="4"/>
      <c r="B121" s="4"/>
      <c r="C121" s="4"/>
      <c r="D121" s="4"/>
    </row>
    <row r="122" spans="1:4" ht="18" customHeight="1" x14ac:dyDescent="0.2">
      <c r="A122" s="4"/>
      <c r="B122" s="4"/>
      <c r="C122" s="4"/>
      <c r="D122" s="4"/>
    </row>
    <row r="123" spans="1:4" ht="18" customHeight="1" x14ac:dyDescent="0.2">
      <c r="A123" s="4"/>
      <c r="B123" s="4"/>
      <c r="C123" s="4"/>
      <c r="D123" s="4"/>
    </row>
    <row r="124" spans="1:4" ht="18" customHeight="1" x14ac:dyDescent="0.2">
      <c r="A124" s="4"/>
      <c r="B124" s="4"/>
      <c r="C124" s="4"/>
      <c r="D124" s="4"/>
    </row>
    <row r="125" spans="1:4" ht="18" customHeight="1" x14ac:dyDescent="0.2">
      <c r="A125" s="4"/>
      <c r="B125" s="4"/>
      <c r="C125" s="4"/>
      <c r="D125" s="4"/>
    </row>
    <row r="126" spans="1:4" ht="18" customHeight="1" x14ac:dyDescent="0.2">
      <c r="A126" s="4"/>
      <c r="B126" s="4"/>
      <c r="C126" s="4"/>
      <c r="D126" s="4"/>
    </row>
    <row r="127" spans="1:4" ht="18" customHeight="1" x14ac:dyDescent="0.2">
      <c r="A127" s="4"/>
      <c r="B127" s="4"/>
      <c r="C127" s="4"/>
      <c r="D127" s="4"/>
    </row>
    <row r="128" spans="1:4" ht="18" customHeight="1" x14ac:dyDescent="0.2">
      <c r="A128" s="4"/>
      <c r="B128" s="4"/>
      <c r="C128" s="4"/>
      <c r="D128" s="4"/>
    </row>
    <row r="129" spans="1:4" ht="18" customHeight="1" x14ac:dyDescent="0.2">
      <c r="A129" s="4"/>
      <c r="B129" s="4"/>
      <c r="C129" s="4"/>
      <c r="D129" s="4"/>
    </row>
    <row r="130" spans="1:4" ht="18" customHeight="1" x14ac:dyDescent="0.2">
      <c r="A130" s="4"/>
      <c r="B130" s="4"/>
      <c r="C130" s="4"/>
      <c r="D130" s="4"/>
    </row>
    <row r="131" spans="1:4" ht="18" customHeight="1" x14ac:dyDescent="0.2">
      <c r="A131" s="4"/>
      <c r="B131" s="4"/>
      <c r="C131" s="4"/>
      <c r="D131" s="4"/>
    </row>
    <row r="132" spans="1:4" ht="18" customHeight="1" x14ac:dyDescent="0.2">
      <c r="A132" s="4"/>
      <c r="B132" s="4"/>
      <c r="C132" s="4"/>
      <c r="D132" s="4"/>
    </row>
    <row r="133" spans="1:4" ht="18" customHeight="1" x14ac:dyDescent="0.2">
      <c r="A133" s="4"/>
      <c r="B133" s="4"/>
      <c r="C133" s="4"/>
      <c r="D133" s="4"/>
    </row>
    <row r="134" spans="1:4" ht="18" customHeight="1" x14ac:dyDescent="0.2">
      <c r="A134" s="4"/>
      <c r="B134" s="4"/>
      <c r="C134" s="4"/>
      <c r="D134" s="4"/>
    </row>
    <row r="135" spans="1:4" ht="18" customHeight="1" x14ac:dyDescent="0.2">
      <c r="A135" s="4"/>
      <c r="B135" s="4"/>
      <c r="C135" s="4"/>
      <c r="D135" s="4"/>
    </row>
    <row r="136" spans="1:4" ht="18" customHeight="1" x14ac:dyDescent="0.2">
      <c r="A136" s="4"/>
      <c r="B136" s="4"/>
      <c r="C136" s="4"/>
      <c r="D136" s="4"/>
    </row>
    <row r="137" spans="1:4" ht="18" customHeight="1" x14ac:dyDescent="0.2">
      <c r="A137" s="4"/>
      <c r="B137" s="4"/>
      <c r="C137" s="4"/>
      <c r="D137" s="4"/>
    </row>
    <row r="138" spans="1:4" ht="18" customHeight="1" x14ac:dyDescent="0.2">
      <c r="A138" s="4"/>
      <c r="B138" s="4"/>
      <c r="C138" s="4"/>
      <c r="D138" s="4"/>
    </row>
    <row r="139" spans="1:4" ht="18" customHeight="1" x14ac:dyDescent="0.2">
      <c r="A139" s="4"/>
      <c r="B139" s="4"/>
      <c r="C139" s="4"/>
      <c r="D139" s="4"/>
    </row>
    <row r="140" spans="1:4" ht="18" customHeight="1" x14ac:dyDescent="0.2">
      <c r="A140" s="4"/>
      <c r="B140" s="4"/>
      <c r="C140" s="4"/>
      <c r="D140" s="4"/>
    </row>
    <row r="141" spans="1:4" ht="18" customHeight="1" x14ac:dyDescent="0.2">
      <c r="A141" s="4"/>
      <c r="B141" s="4"/>
      <c r="C141" s="4"/>
      <c r="D141" s="4"/>
    </row>
    <row r="142" spans="1:4" ht="18" customHeight="1" x14ac:dyDescent="0.2">
      <c r="A142" s="4"/>
      <c r="B142" s="4"/>
      <c r="C142" s="4"/>
      <c r="D142" s="4"/>
    </row>
    <row r="143" spans="1:4" ht="18" customHeight="1" x14ac:dyDescent="0.2">
      <c r="A143" s="4"/>
      <c r="B143" s="4"/>
      <c r="C143" s="4"/>
      <c r="D143" s="4"/>
    </row>
    <row r="144" spans="1:4" ht="18" customHeight="1" x14ac:dyDescent="0.2">
      <c r="A144" s="4"/>
      <c r="B144" s="4"/>
      <c r="C144" s="4"/>
      <c r="D144" s="4"/>
    </row>
    <row r="145" spans="1:4" ht="18" customHeight="1" x14ac:dyDescent="0.2">
      <c r="A145" s="4"/>
      <c r="B145" s="4"/>
      <c r="C145" s="4"/>
      <c r="D145" s="4"/>
    </row>
    <row r="146" spans="1:4" ht="18" customHeight="1" x14ac:dyDescent="0.2">
      <c r="A146" s="4"/>
      <c r="B146" s="4"/>
      <c r="C146" s="4"/>
      <c r="D146" s="4"/>
    </row>
    <row r="147" spans="1:4" ht="18" customHeight="1" x14ac:dyDescent="0.2">
      <c r="A147" s="4"/>
      <c r="B147" s="4"/>
      <c r="C147" s="4"/>
      <c r="D147" s="4"/>
    </row>
    <row r="148" spans="1:4" ht="18" customHeight="1" x14ac:dyDescent="0.2">
      <c r="A148" s="4"/>
      <c r="B148" s="4"/>
      <c r="C148" s="4"/>
      <c r="D148" s="4"/>
    </row>
    <row r="149" spans="1:4" ht="18" customHeight="1" x14ac:dyDescent="0.2">
      <c r="A149" s="4"/>
      <c r="B149" s="4"/>
      <c r="C149" s="4"/>
      <c r="D149" s="4"/>
    </row>
    <row r="150" spans="1:4" ht="18" customHeight="1" x14ac:dyDescent="0.2">
      <c r="A150" s="4"/>
      <c r="B150" s="4"/>
      <c r="C150" s="4"/>
      <c r="D150" s="4"/>
    </row>
    <row r="151" spans="1:4" ht="18" customHeight="1" x14ac:dyDescent="0.2">
      <c r="A151" s="4"/>
      <c r="B151" s="4"/>
      <c r="C151" s="4"/>
      <c r="D151" s="4"/>
    </row>
    <row r="152" spans="1:4" ht="18" customHeight="1" x14ac:dyDescent="0.2">
      <c r="A152" s="4"/>
      <c r="B152" s="4"/>
      <c r="C152" s="4"/>
      <c r="D152" s="4"/>
    </row>
    <row r="153" spans="1:4" ht="18" customHeight="1" x14ac:dyDescent="0.2">
      <c r="A153" s="4"/>
      <c r="B153" s="4"/>
      <c r="C153" s="4"/>
      <c r="D153" s="4"/>
    </row>
    <row r="154" spans="1:4" ht="18" customHeight="1" x14ac:dyDescent="0.2">
      <c r="A154" s="4"/>
      <c r="B154" s="4"/>
      <c r="C154" s="4"/>
      <c r="D154" s="4"/>
    </row>
    <row r="155" spans="1:4" ht="18" customHeight="1" x14ac:dyDescent="0.2">
      <c r="A155" s="4"/>
      <c r="B155" s="4"/>
      <c r="C155" s="4"/>
      <c r="D155" s="4"/>
    </row>
    <row r="156" spans="1:4" ht="18" customHeight="1" x14ac:dyDescent="0.2">
      <c r="A156" s="4"/>
      <c r="B156" s="4"/>
      <c r="C156" s="4"/>
      <c r="D156" s="4"/>
    </row>
    <row r="157" spans="1:4" ht="18" customHeight="1" x14ac:dyDescent="0.2">
      <c r="A157" s="4"/>
      <c r="B157" s="4"/>
      <c r="C157" s="4"/>
      <c r="D157" s="4"/>
    </row>
    <row r="158" spans="1:4" ht="18" customHeight="1" x14ac:dyDescent="0.2">
      <c r="A158" s="4"/>
      <c r="B158" s="4"/>
      <c r="C158" s="4"/>
      <c r="D158" s="4"/>
    </row>
    <row r="159" spans="1:4" ht="18" customHeight="1" x14ac:dyDescent="0.2">
      <c r="A159" s="4"/>
      <c r="B159" s="4"/>
      <c r="C159" s="4"/>
      <c r="D159" s="4"/>
    </row>
    <row r="160" spans="1:4" ht="18" customHeight="1" x14ac:dyDescent="0.2">
      <c r="A160" s="4"/>
      <c r="B160" s="4"/>
      <c r="C160" s="4"/>
      <c r="D160" s="4"/>
    </row>
    <row r="161" spans="1:4" ht="18" customHeight="1" x14ac:dyDescent="0.2">
      <c r="A161" s="4"/>
      <c r="B161" s="4"/>
      <c r="C161" s="4"/>
      <c r="D161" s="4"/>
    </row>
    <row r="162" spans="1:4" ht="18" customHeight="1" x14ac:dyDescent="0.2">
      <c r="A162" s="4"/>
      <c r="B162" s="4"/>
      <c r="C162" s="4"/>
      <c r="D162" s="4"/>
    </row>
    <row r="163" spans="1:4" ht="18" customHeight="1" x14ac:dyDescent="0.2">
      <c r="A163" s="4"/>
      <c r="B163" s="4"/>
      <c r="C163" s="4"/>
      <c r="D163" s="4"/>
    </row>
    <row r="164" spans="1:4" ht="18" customHeight="1" x14ac:dyDescent="0.2">
      <c r="A164" s="4"/>
      <c r="B164" s="4"/>
      <c r="C164" s="4"/>
      <c r="D164" s="4"/>
    </row>
    <row r="165" spans="1:4" ht="18" customHeight="1" x14ac:dyDescent="0.2">
      <c r="A165" s="4"/>
      <c r="B165" s="4"/>
      <c r="C165" s="4"/>
      <c r="D165" s="4"/>
    </row>
    <row r="166" spans="1:4" ht="18" customHeight="1" x14ac:dyDescent="0.2">
      <c r="A166" s="4"/>
      <c r="B166" s="4"/>
      <c r="C166" s="4"/>
      <c r="D166" s="4"/>
    </row>
    <row r="167" spans="1:4" ht="18" customHeight="1" x14ac:dyDescent="0.2">
      <c r="A167" s="4"/>
      <c r="B167" s="4"/>
      <c r="C167" s="4"/>
      <c r="D167" s="4"/>
    </row>
    <row r="168" spans="1:4" ht="18" customHeight="1" x14ac:dyDescent="0.2">
      <c r="A168" s="4"/>
      <c r="B168" s="4"/>
      <c r="C168" s="4"/>
      <c r="D168" s="4"/>
    </row>
    <row r="169" spans="1:4" ht="18" customHeight="1" x14ac:dyDescent="0.2">
      <c r="A169" s="4"/>
      <c r="B169" s="4"/>
      <c r="C169" s="4"/>
      <c r="D169" s="4"/>
    </row>
    <row r="170" spans="1:4" ht="18" customHeight="1" x14ac:dyDescent="0.2">
      <c r="A170" s="4"/>
      <c r="B170" s="4"/>
      <c r="C170" s="4"/>
      <c r="D170" s="4"/>
    </row>
    <row r="171" spans="1:4" ht="18" customHeight="1" x14ac:dyDescent="0.2">
      <c r="A171" s="4"/>
      <c r="B171" s="4"/>
      <c r="C171" s="4"/>
      <c r="D171" s="4"/>
    </row>
    <row r="172" spans="1:4" ht="18" customHeight="1" x14ac:dyDescent="0.2">
      <c r="A172" s="4"/>
      <c r="B172" s="4"/>
      <c r="C172" s="4"/>
      <c r="D172" s="4"/>
    </row>
    <row r="173" spans="1:4" ht="18" customHeight="1" x14ac:dyDescent="0.2">
      <c r="A173" s="4"/>
      <c r="B173" s="4"/>
      <c r="C173" s="4"/>
      <c r="D173" s="4"/>
    </row>
    <row r="174" spans="1:4" ht="18" customHeight="1" x14ac:dyDescent="0.2">
      <c r="A174" s="4"/>
      <c r="B174" s="4"/>
      <c r="C174" s="4"/>
      <c r="D174" s="4"/>
    </row>
    <row r="175" spans="1:4" ht="18" customHeight="1" x14ac:dyDescent="0.2">
      <c r="A175" s="4"/>
      <c r="B175" s="4"/>
      <c r="C175" s="4"/>
      <c r="D175" s="4"/>
    </row>
    <row r="176" spans="1:4" ht="18" customHeight="1" x14ac:dyDescent="0.2">
      <c r="A176" s="4"/>
      <c r="B176" s="4"/>
      <c r="C176" s="4"/>
      <c r="D176" s="4"/>
    </row>
    <row r="177" spans="1:4" ht="18" customHeight="1" x14ac:dyDescent="0.2">
      <c r="A177" s="4"/>
      <c r="B177" s="4"/>
      <c r="C177" s="4"/>
      <c r="D177" s="4"/>
    </row>
    <row r="178" spans="1:4" ht="18" customHeight="1" x14ac:dyDescent="0.2">
      <c r="A178" s="4"/>
      <c r="B178" s="4"/>
      <c r="C178" s="4"/>
      <c r="D178" s="4"/>
    </row>
    <row r="179" spans="1:4" ht="18" customHeight="1" x14ac:dyDescent="0.2">
      <c r="A179" s="4"/>
      <c r="B179" s="4"/>
      <c r="C179" s="4"/>
      <c r="D179" s="4"/>
    </row>
    <row r="180" spans="1:4" ht="18" customHeight="1" x14ac:dyDescent="0.2">
      <c r="A180" s="4"/>
      <c r="B180" s="4"/>
      <c r="C180" s="4"/>
      <c r="D180" s="4"/>
    </row>
    <row r="181" spans="1:4" ht="18" customHeight="1" x14ac:dyDescent="0.2">
      <c r="A181" s="4"/>
      <c r="B181" s="4"/>
      <c r="C181" s="4"/>
      <c r="D181" s="4"/>
    </row>
    <row r="182" spans="1:4" ht="18" customHeight="1" x14ac:dyDescent="0.2">
      <c r="A182" s="4"/>
      <c r="B182" s="4"/>
      <c r="C182" s="4"/>
      <c r="D182" s="4"/>
    </row>
    <row r="183" spans="1:4" ht="18" customHeight="1" x14ac:dyDescent="0.2">
      <c r="A183" s="4"/>
      <c r="B183" s="4"/>
      <c r="C183" s="4"/>
      <c r="D183" s="4"/>
    </row>
    <row r="184" spans="1:4" ht="18" customHeight="1" x14ac:dyDescent="0.2">
      <c r="A184" s="4"/>
      <c r="B184" s="4"/>
      <c r="C184" s="4"/>
      <c r="D184" s="4"/>
    </row>
    <row r="185" spans="1:4" ht="18" customHeight="1" x14ac:dyDescent="0.2">
      <c r="A185" s="4"/>
      <c r="B185" s="4"/>
      <c r="C185" s="4"/>
      <c r="D185" s="4"/>
    </row>
    <row r="186" spans="1:4" ht="18" customHeight="1" x14ac:dyDescent="0.2">
      <c r="A186" s="4"/>
      <c r="B186" s="4"/>
      <c r="C186" s="4"/>
      <c r="D186" s="4"/>
    </row>
    <row r="187" spans="1:4" ht="18" customHeight="1" x14ac:dyDescent="0.2">
      <c r="A187" s="4"/>
      <c r="B187" s="4"/>
      <c r="C187" s="4"/>
      <c r="D187" s="4"/>
    </row>
    <row r="188" spans="1:4" ht="18" customHeight="1" x14ac:dyDescent="0.2">
      <c r="A188" s="4"/>
      <c r="B188" s="4"/>
      <c r="C188" s="4"/>
      <c r="D188" s="4"/>
    </row>
    <row r="189" spans="1:4" ht="18" customHeight="1" x14ac:dyDescent="0.2">
      <c r="A189" s="4"/>
      <c r="B189" s="4"/>
      <c r="C189" s="4"/>
      <c r="D189" s="4"/>
    </row>
    <row r="190" spans="1:4" ht="18" customHeight="1" x14ac:dyDescent="0.2">
      <c r="A190" s="4"/>
      <c r="B190" s="4"/>
      <c r="C190" s="4"/>
      <c r="D190" s="4"/>
    </row>
    <row r="191" spans="1:4" ht="18" customHeight="1" x14ac:dyDescent="0.2">
      <c r="A191" s="4"/>
      <c r="B191" s="4"/>
      <c r="C191" s="4"/>
      <c r="D191" s="4"/>
    </row>
    <row r="192" spans="1:4" ht="18" customHeight="1" x14ac:dyDescent="0.2">
      <c r="A192" s="4"/>
      <c r="B192" s="4"/>
      <c r="C192" s="4"/>
      <c r="D192" s="4"/>
    </row>
    <row r="193" spans="1:4" ht="18" customHeight="1" x14ac:dyDescent="0.2">
      <c r="A193" s="4"/>
      <c r="B193" s="4"/>
      <c r="C193" s="4"/>
      <c r="D193" s="4"/>
    </row>
    <row r="194" spans="1:4" ht="18" customHeight="1" x14ac:dyDescent="0.2">
      <c r="A194" s="4"/>
      <c r="B194" s="4"/>
      <c r="C194" s="4"/>
      <c r="D194" s="4"/>
    </row>
    <row r="195" spans="1:4" ht="18" customHeight="1" x14ac:dyDescent="0.2">
      <c r="A195" s="4"/>
      <c r="B195" s="4"/>
      <c r="C195" s="4"/>
      <c r="D195" s="4"/>
    </row>
    <row r="196" spans="1:4" ht="18" customHeight="1" x14ac:dyDescent="0.2">
      <c r="A196" s="4"/>
      <c r="B196" s="4"/>
      <c r="C196" s="4"/>
      <c r="D196" s="4"/>
    </row>
    <row r="197" spans="1:4" ht="18" customHeight="1" x14ac:dyDescent="0.2">
      <c r="A197" s="4"/>
      <c r="B197" s="4"/>
      <c r="C197" s="4"/>
      <c r="D197" s="4"/>
    </row>
    <row r="198" spans="1:4" ht="18" customHeight="1" x14ac:dyDescent="0.2">
      <c r="A198" s="4"/>
      <c r="B198" s="4"/>
      <c r="C198" s="4"/>
      <c r="D198" s="4"/>
    </row>
    <row r="199" spans="1:4" ht="18" customHeight="1" x14ac:dyDescent="0.2">
      <c r="A199" s="4"/>
      <c r="B199" s="4"/>
      <c r="C199" s="4"/>
      <c r="D199" s="4"/>
    </row>
    <row r="200" spans="1:4" ht="18" customHeight="1" x14ac:dyDescent="0.2">
      <c r="A200" s="4"/>
      <c r="B200" s="4"/>
      <c r="C200" s="4"/>
      <c r="D200" s="4"/>
    </row>
  </sheetData>
  <mergeCells count="2">
    <mergeCell ref="A1:D1"/>
    <mergeCell ref="A2:D2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"/>
  <cols>
    <col min="1" max="14" width="18.0234375" customWidth="1"/>
  </cols>
  <sheetData>
    <row r="1" spans="1:8" ht="18.75" x14ac:dyDescent="0.25">
      <c r="A1" s="13" t="s">
        <v>132</v>
      </c>
      <c r="B1" s="8"/>
      <c r="C1" s="8"/>
      <c r="D1" s="8"/>
      <c r="E1" s="8"/>
      <c r="F1" s="8"/>
      <c r="G1" s="8"/>
      <c r="H1" s="8"/>
    </row>
    <row r="3" spans="1:8" x14ac:dyDescent="0.2">
      <c r="A3" s="6" t="s">
        <v>33</v>
      </c>
      <c r="B3" s="6" t="s">
        <v>133</v>
      </c>
      <c r="C3" s="6" t="s">
        <v>134</v>
      </c>
      <c r="D3" s="6" t="s">
        <v>135</v>
      </c>
      <c r="E3" s="6" t="s">
        <v>37</v>
      </c>
      <c r="F3" s="6" t="s">
        <v>136</v>
      </c>
      <c r="G3" s="6" t="s">
        <v>137</v>
      </c>
      <c r="H3" s="6" t="s">
        <v>138</v>
      </c>
    </row>
    <row r="4" spans="1:8" x14ac:dyDescent="0.2">
      <c r="A4" s="6" t="s">
        <v>40</v>
      </c>
      <c r="B4" s="6">
        <f>HOME_KPI!B4</f>
        <v>8781</v>
      </c>
      <c r="C4" s="6">
        <f>HOME_KPI!C4</f>
        <v>24531</v>
      </c>
      <c r="D4" s="6">
        <f>HOME_KPI!D4</f>
        <v>2758</v>
      </c>
      <c r="E4" s="6">
        <f>HOME_KPI!E4</f>
        <v>92.2</v>
      </c>
      <c r="F4" s="6">
        <f>SUM(HOME_KPI!B4:B4)</f>
        <v>8781</v>
      </c>
      <c r="G4" s="6">
        <f>IF(HOME_KPI!G4&gt;0, F4/HOME_KPI!G4*100, 0)</f>
        <v>0.42834146341463414</v>
      </c>
      <c r="H4" s="6" t="s">
        <v>123</v>
      </c>
    </row>
    <row r="5" spans="1:8" x14ac:dyDescent="0.2">
      <c r="A5" s="6" t="s">
        <v>41</v>
      </c>
      <c r="B5" s="6">
        <f>HOME_KPI!B5</f>
        <v>9399</v>
      </c>
      <c r="C5" s="6">
        <f>HOME_KPI!C5</f>
        <v>24394</v>
      </c>
      <c r="D5" s="6">
        <f>HOME_KPI!D5</f>
        <v>2897</v>
      </c>
      <c r="E5" s="6">
        <f>HOME_KPI!E5</f>
        <v>92.1</v>
      </c>
      <c r="F5" s="6">
        <f>SUM(HOME_KPI!B4:B5)</f>
        <v>18180</v>
      </c>
      <c r="G5" s="6">
        <f>IF(HOME_KPI!G5&gt;0, F5/HOME_KPI!G5*100, 0)</f>
        <v>0.88682926829268294</v>
      </c>
      <c r="H5" s="6" t="s">
        <v>123</v>
      </c>
    </row>
    <row r="6" spans="1:8" x14ac:dyDescent="0.2">
      <c r="A6" s="6" t="s">
        <v>42</v>
      </c>
      <c r="B6" s="6">
        <f>HOME_KPI!B6</f>
        <v>8789</v>
      </c>
      <c r="C6" s="6">
        <f>HOME_KPI!C6</f>
        <v>24499</v>
      </c>
      <c r="D6" s="6">
        <f>HOME_KPI!D6</f>
        <v>2929</v>
      </c>
      <c r="E6" s="6">
        <f>HOME_KPI!E6</f>
        <v>92</v>
      </c>
      <c r="F6" s="6">
        <f>SUM(HOME_KPI!B4:B6)</f>
        <v>26969</v>
      </c>
      <c r="G6" s="6">
        <f>IF(HOME_KPI!G6&gt;0, F6/HOME_KPI!G6*100, 0)</f>
        <v>1.3155609756097562</v>
      </c>
      <c r="H6" s="6" t="s">
        <v>123</v>
      </c>
    </row>
    <row r="7" spans="1:8" x14ac:dyDescent="0.2">
      <c r="A7" s="6" t="s">
        <v>43</v>
      </c>
      <c r="B7" s="6">
        <f>HOME_KPI!B7</f>
        <v>10108</v>
      </c>
      <c r="C7" s="6">
        <f>HOME_KPI!C7</f>
        <v>25004</v>
      </c>
      <c r="D7" s="6">
        <f>HOME_KPI!D7</f>
        <v>2947</v>
      </c>
      <c r="E7" s="6">
        <f>HOME_KPI!E7</f>
        <v>92.6</v>
      </c>
      <c r="F7" s="6">
        <f>SUM(HOME_KPI!B4:B7)</f>
        <v>37077</v>
      </c>
      <c r="G7" s="6">
        <f>IF(HOME_KPI!G7&gt;0, F7/HOME_KPI!G7*100, 0)</f>
        <v>1.795496368038741</v>
      </c>
      <c r="H7" s="6" t="s">
        <v>123</v>
      </c>
    </row>
    <row r="8" spans="1:8" x14ac:dyDescent="0.2">
      <c r="A8" s="6" t="s">
        <v>44</v>
      </c>
      <c r="B8" s="6">
        <f>HOME_KPI!B8</f>
        <v>10411</v>
      </c>
      <c r="C8" s="6">
        <f>HOME_KPI!C8</f>
        <v>25244</v>
      </c>
      <c r="D8" s="6">
        <f>HOME_KPI!D8</f>
        <v>2988</v>
      </c>
      <c r="E8" s="6">
        <f>HOME_KPI!E8</f>
        <v>93.6</v>
      </c>
      <c r="F8" s="6">
        <f>SUM(HOME_KPI!B4:B8)</f>
        <v>47488</v>
      </c>
      <c r="G8" s="6">
        <f>IF(HOME_KPI!G8&gt;0, F8/HOME_KPI!G8*100, 0)</f>
        <v>2.2996610169491527</v>
      </c>
      <c r="H8" s="6" t="s">
        <v>123</v>
      </c>
    </row>
    <row r="9" spans="1:8" x14ac:dyDescent="0.2">
      <c r="A9" s="6" t="s">
        <v>45</v>
      </c>
      <c r="B9" s="6">
        <f>HOME_KPI!B9</f>
        <v>8912</v>
      </c>
      <c r="C9" s="6">
        <f>HOME_KPI!C9</f>
        <v>24926</v>
      </c>
      <c r="D9" s="6">
        <f>HOME_KPI!D9</f>
        <v>2977</v>
      </c>
      <c r="E9" s="6">
        <f>HOME_KPI!E9</f>
        <v>93.7</v>
      </c>
      <c r="F9" s="6">
        <f>SUM(HOME_KPI!B4:B9)</f>
        <v>56400</v>
      </c>
      <c r="G9" s="6">
        <f>IF(HOME_KPI!G9&gt;0, F9/HOME_KPI!G9*100, 0)</f>
        <v>2.7312348668280872</v>
      </c>
      <c r="H9" s="6" t="s">
        <v>123</v>
      </c>
    </row>
    <row r="10" spans="1:8" x14ac:dyDescent="0.2">
      <c r="A10" s="6" t="s">
        <v>46</v>
      </c>
      <c r="B10" s="6">
        <f>HOME_KPI!B10</f>
        <v>9191</v>
      </c>
      <c r="C10" s="6">
        <f>HOME_KPI!C10</f>
        <v>24983</v>
      </c>
      <c r="D10" s="6">
        <f>HOME_KPI!D10</f>
        <v>3107</v>
      </c>
      <c r="E10" s="6">
        <f>HOME_KPI!E10</f>
        <v>93.7</v>
      </c>
      <c r="F10" s="6">
        <f>SUM(HOME_KPI!B4:B10)</f>
        <v>65591</v>
      </c>
      <c r="G10" s="6">
        <f>IF(HOME_KPI!G10&gt;0, F10/HOME_KPI!G10*100, 0)</f>
        <v>3.1763196125907993</v>
      </c>
      <c r="H10" s="6" t="s">
        <v>123</v>
      </c>
    </row>
    <row r="11" spans="1:8" x14ac:dyDescent="0.2">
      <c r="A11" s="6" t="s">
        <v>47</v>
      </c>
      <c r="B11" s="6">
        <f>HOME_KPI!B11</f>
        <v>8937</v>
      </c>
      <c r="C11" s="6">
        <f>HOME_KPI!C11</f>
        <v>25266</v>
      </c>
      <c r="D11" s="6">
        <f>HOME_KPI!D11</f>
        <v>3011</v>
      </c>
      <c r="E11" s="6">
        <f>HOME_KPI!E11</f>
        <v>94.5</v>
      </c>
      <c r="F11" s="6">
        <f>SUM(HOME_KPI!B4:B11)</f>
        <v>74528</v>
      </c>
      <c r="G11" s="6">
        <f>IF(HOME_KPI!G11&gt;0, F11/HOME_KPI!G11*100, 0)</f>
        <v>3.6091041162227602</v>
      </c>
      <c r="H11" s="6" t="s">
        <v>139</v>
      </c>
    </row>
    <row r="12" spans="1:8" x14ac:dyDescent="0.2">
      <c r="A12" s="6" t="s">
        <v>48</v>
      </c>
      <c r="B12" s="6">
        <f>HOME_KPI!B12</f>
        <v>10608</v>
      </c>
      <c r="C12" s="6">
        <f>HOME_KPI!C12</f>
        <v>25456</v>
      </c>
      <c r="D12" s="6">
        <f>HOME_KPI!D12</f>
        <v>3147</v>
      </c>
      <c r="E12" s="6">
        <f>HOME_KPI!E12</f>
        <v>94.4</v>
      </c>
      <c r="F12" s="6">
        <f>SUM(HOME_KPI!B4:B12)</f>
        <v>85136</v>
      </c>
      <c r="G12" s="6">
        <f>IF(HOME_KPI!G12&gt;0, F12/HOME_KPI!G12*100, 0)</f>
        <v>4.1228087167070218</v>
      </c>
      <c r="H12" s="6" t="s">
        <v>139</v>
      </c>
    </row>
    <row r="13" spans="1:8" x14ac:dyDescent="0.2">
      <c r="A13" s="6" t="s">
        <v>49</v>
      </c>
      <c r="B13" s="6">
        <f>HOME_KPI!B13</f>
        <v>10175</v>
      </c>
      <c r="C13" s="6">
        <f>HOME_KPI!C13</f>
        <v>25864</v>
      </c>
      <c r="D13" s="6">
        <f>HOME_KPI!D13</f>
        <v>3158</v>
      </c>
      <c r="E13" s="6">
        <f>HOME_KPI!E13</f>
        <v>95.1</v>
      </c>
      <c r="F13" s="6">
        <f>SUM(HOME_KPI!B4:B13)</f>
        <v>95311</v>
      </c>
      <c r="G13" s="6">
        <f>IF(HOME_KPI!G13&gt;0, F13/HOME_KPI!G13*100, 0)</f>
        <v>4.5822596153846149</v>
      </c>
      <c r="H13" s="6" t="s">
        <v>139</v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"/>
  <cols>
    <col min="1" max="14" width="18.0234375" customWidth="1"/>
  </cols>
  <sheetData>
    <row r="1" spans="1:8" ht="18.75" x14ac:dyDescent="0.25">
      <c r="A1" s="13" t="s">
        <v>140</v>
      </c>
      <c r="B1" s="8"/>
      <c r="C1" s="8"/>
      <c r="D1" s="8"/>
      <c r="E1" s="8"/>
      <c r="F1" s="8"/>
      <c r="G1" s="8"/>
      <c r="H1" s="8"/>
    </row>
    <row r="3" spans="1:8" x14ac:dyDescent="0.2">
      <c r="A3" s="6" t="s">
        <v>52</v>
      </c>
      <c r="B3" s="6" t="s">
        <v>122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  <c r="H3" s="6" t="s">
        <v>11</v>
      </c>
    </row>
    <row r="4" spans="1:8" ht="27.75" x14ac:dyDescent="0.2">
      <c r="A4" s="6" t="s">
        <v>14</v>
      </c>
      <c r="B4" s="6">
        <f>PROJEKTE_GESAMT!B4</f>
        <v>702000</v>
      </c>
      <c r="C4" s="6">
        <f>PROJEKTE_GESAMT!C4</f>
        <v>406000</v>
      </c>
      <c r="D4" s="6">
        <f>IF(B4&gt;0,C4/B4*100,0)</f>
        <v>57.834757834757831</v>
      </c>
      <c r="E4" s="6" t="e">
        <f>PROJEKTE_GESAMT!D4</f>
        <v>#VALUE!</v>
      </c>
      <c r="F4" s="6">
        <f>C4-B4</f>
        <v>-296000</v>
      </c>
      <c r="G4" s="6" t="e">
        <f>IF(D4&gt;E4,"Kosten voraus","OK")</f>
        <v>#VALUE!</v>
      </c>
      <c r="H4" s="6" t="s">
        <v>146</v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"/>
  <cols>
    <col min="1" max="1" width="23.9453125" customWidth="1"/>
    <col min="2" max="2" width="22.05859375" customWidth="1"/>
    <col min="3" max="3" width="20.04296875" customWidth="1"/>
    <col min="4" max="4" width="37.93359375" customWidth="1"/>
    <col min="5" max="14" width="18.0234375" customWidth="1"/>
  </cols>
  <sheetData>
    <row r="1" spans="1:8" ht="18.75" x14ac:dyDescent="0.25">
      <c r="A1" s="13" t="s">
        <v>147</v>
      </c>
      <c r="B1" s="8"/>
      <c r="C1" s="8"/>
      <c r="D1" s="8"/>
      <c r="E1" s="8"/>
      <c r="F1" s="8"/>
      <c r="G1" s="8"/>
      <c r="H1" s="8"/>
    </row>
    <row r="3" spans="1:8" x14ac:dyDescent="0.2">
      <c r="A3" s="6" t="s">
        <v>148</v>
      </c>
      <c r="B3" s="6" t="s">
        <v>10</v>
      </c>
      <c r="C3" s="6" t="s">
        <v>149</v>
      </c>
      <c r="D3" s="6" t="s">
        <v>150</v>
      </c>
    </row>
    <row r="4" spans="1:8" x14ac:dyDescent="0.2">
      <c r="A4" s="6" t="s">
        <v>151</v>
      </c>
      <c r="B4" s="6">
        <f>SUM(FINANCE_CASHFLOW!D4:D10)</f>
        <v>65591</v>
      </c>
      <c r="C4" s="6" t="s">
        <v>152</v>
      </c>
      <c r="D4" s="6" t="s">
        <v>153</v>
      </c>
    </row>
    <row r="5" spans="1:8" x14ac:dyDescent="0.2">
      <c r="A5" s="6" t="s">
        <v>154</v>
      </c>
      <c r="B5" s="6">
        <f>SUM(FINANCE_MIETEN!D4:D10)</f>
        <v>173581</v>
      </c>
      <c r="C5" s="6" t="s">
        <v>155</v>
      </c>
      <c r="D5" s="6" t="s">
        <v>153</v>
      </c>
    </row>
    <row r="6" spans="1:8" x14ac:dyDescent="0.2">
      <c r="A6" s="6" t="s">
        <v>156</v>
      </c>
      <c r="B6" s="6">
        <f>SUM(FINANCE_MIETEN!E4:E10)</f>
        <v>20603</v>
      </c>
      <c r="C6" s="6" t="s">
        <v>155</v>
      </c>
      <c r="D6" s="6" t="s">
        <v>153</v>
      </c>
    </row>
    <row r="7" spans="1:8" x14ac:dyDescent="0.2">
      <c r="A7" s="6" t="s">
        <v>157</v>
      </c>
      <c r="B7" s="6">
        <f>SUM(FINANCE_OP!C4:C54)</f>
        <v>59800</v>
      </c>
      <c r="C7" s="6" t="s">
        <v>158</v>
      </c>
      <c r="D7" s="6" t="s">
        <v>159</v>
      </c>
    </row>
    <row r="8" spans="1:8" x14ac:dyDescent="0.2">
      <c r="A8" s="6" t="s">
        <v>160</v>
      </c>
      <c r="B8" s="6">
        <f>SUM(FINANCE_RESERVEN!B4:B54)</f>
        <v>164000</v>
      </c>
      <c r="C8" s="6" t="s">
        <v>161</v>
      </c>
      <c r="D8" s="6" t="s">
        <v>162</v>
      </c>
    </row>
    <row r="9" spans="1:8" x14ac:dyDescent="0.2">
      <c r="A9" s="6" t="s">
        <v>163</v>
      </c>
      <c r="B9" s="6">
        <f>SUM(FINANCE_BUDGET!B4:B54)-SUM(FINANCE_BUDGET!C4:C54)</f>
        <v>5600</v>
      </c>
      <c r="C9" s="6" t="s">
        <v>164</v>
      </c>
      <c r="D9" s="6" t="s">
        <v>165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README</vt:lpstr>
      <vt:lpstr>INPUT_ZENTRAL</vt:lpstr>
      <vt:lpstr>HOME_KPI</vt:lpstr>
      <vt:lpstr>PROJEKTE_GESAMT</vt:lpstr>
      <vt:lpstr>PROJEKTE_GEWERKE</vt:lpstr>
      <vt:lpstr>FINANCE_CASHFLOW</vt:lpstr>
      <vt:lpstr>FINANCE_MIETEN</vt:lpstr>
      <vt:lpstr>FINANCE_OP</vt:lpstr>
      <vt:lpstr>FINANCE_RESERVEN</vt:lpstr>
      <vt:lpstr>FINANCE_BUDGET</vt:lpstr>
      <vt:lpstr>VIEW_HOME</vt:lpstr>
      <vt:lpstr>VIEW_PROJEKTE</vt:lpstr>
      <vt:lpstr>VIEW_FINANCE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2025-12-14T11:06:09Z</dcterms:created>
  <dcterms:modified xsi:type="dcterms:W3CDTF">2025-12-14T11:18:24Z</dcterms:modified>
</cp:coreProperties>
</file>